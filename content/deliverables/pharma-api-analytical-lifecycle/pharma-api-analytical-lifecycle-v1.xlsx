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db6e18c2449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8a0940c80f6a42c2"/>
    <x:sheet xmlns:r="http://schemas.openxmlformats.org/officeDocument/2006/relationships" name="Decision Brief" sheetId="2" r:id="R60a16c2dc4f74543"/>
    <x:sheet xmlns:r="http://schemas.openxmlformats.org/officeDocument/2006/relationships" name="Analytical Target" sheetId="3" r:id="Rfaa26949ba5e4be4"/>
    <x:sheet xmlns:r="http://schemas.openxmlformats.org/officeDocument/2006/relationships" name="Attribute Map" sheetId="4" r:id="Racdb586860cb49d1"/>
    <x:sheet xmlns:r="http://schemas.openxmlformats.org/officeDocument/2006/relationships" name="Procedure Capability" sheetId="5" r:id="R72e1e89d51db498c"/>
    <x:sheet xmlns:r="http://schemas.openxmlformats.org/officeDocument/2006/relationships" name="Specification Basis" sheetId="6" r:id="R9e3ce2dda5f440c0"/>
    <x:sheet xmlns:r="http://schemas.openxmlformats.org/officeDocument/2006/relationships" name="Stability Evidence" sheetId="7" r:id="R60a01702d12b4322"/>
    <x:sheet xmlns:r="http://schemas.openxmlformats.org/officeDocument/2006/relationships" name="Transfer Assessment" sheetId="8" r:id="R725d6621a9714e6f"/>
    <x:sheet xmlns:r="http://schemas.openxmlformats.org/officeDocument/2006/relationships" name="Change &amp; Filing" sheetId="9" r:id="R25b0abfb17574933"/>
    <x:sheet xmlns:r="http://schemas.openxmlformats.org/officeDocument/2006/relationships" name="Evidence Register" sheetId="10" r:id="R432105ee786344bb"/>
    <x:sheet xmlns:r="http://schemas.openxmlformats.org/officeDocument/2006/relationships" name="Review &amp; Actions" sheetId="11" r:id="Ra4eac7077a894f64"/>
    <x:sheet xmlns:r="http://schemas.openxmlformats.org/officeDocument/2006/relationships" name="Sources &amp; Control" sheetId="12" r:id="R1928dcc9e5ba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3B5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0E7490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6e152cf474f45" /><Relationship Type="http://schemas.openxmlformats.org/officeDocument/2006/relationships/theme" Target="/xl/theme/theme1.xml" Id="Rb7fec874f1bc4c9c" /><Relationship Type="http://schemas.openxmlformats.org/officeDocument/2006/relationships/sharedStrings" Target="/xl/sharedStrings.xml" Id="Rb49328c6d5134350" /><Relationship Type="http://schemas.openxmlformats.org/officeDocument/2006/relationships/worksheet" Target="/xl/worksheets/sheet1.xml" Id="R8a0940c80f6a42c2" /><Relationship Type="http://schemas.openxmlformats.org/officeDocument/2006/relationships/worksheet" Target="/xl/worksheets/sheet2.xml" Id="R60a16c2dc4f74543" /><Relationship Type="http://schemas.openxmlformats.org/officeDocument/2006/relationships/worksheet" Target="/xl/worksheets/sheet3.xml" Id="Rfaa26949ba5e4be4" /><Relationship Type="http://schemas.openxmlformats.org/officeDocument/2006/relationships/worksheet" Target="/xl/worksheets/sheet4.xml" Id="Racdb586860cb49d1" /><Relationship Type="http://schemas.openxmlformats.org/officeDocument/2006/relationships/worksheet" Target="/xl/worksheets/sheet5.xml" Id="R72e1e89d51db498c" /><Relationship Type="http://schemas.openxmlformats.org/officeDocument/2006/relationships/worksheet" Target="/xl/worksheets/sheet6.xml" Id="R9e3ce2dda5f440c0" /><Relationship Type="http://schemas.openxmlformats.org/officeDocument/2006/relationships/worksheet" Target="/xl/worksheets/sheet7.xml" Id="R60a01702d12b4322" /><Relationship Type="http://schemas.openxmlformats.org/officeDocument/2006/relationships/worksheet" Target="/xl/worksheets/sheet8.xml" Id="R725d6621a9714e6f" /><Relationship Type="http://schemas.openxmlformats.org/officeDocument/2006/relationships/worksheet" Target="/xl/worksheets/sheet9.xml" Id="R25b0abfb17574933" /><Relationship Type="http://schemas.openxmlformats.org/officeDocument/2006/relationships/worksheet" Target="/xl/worksheets/sheet10.xml" Id="R432105ee786344bb" /><Relationship Type="http://schemas.openxmlformats.org/officeDocument/2006/relationships/worksheet" Target="/xl/worksheets/sheet11.xml" Id="Ra4eac7077a894f64" /><Relationship Type="http://schemas.openxmlformats.org/officeDocument/2006/relationships/worksheet" Target="/xl/worksheets/sheet12.xml" Id="R1928dcc9e5ba43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2" t="str">
        <x:v>Pharma API Analytical &amp; Lifecycle Control Evidence Map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Evidence-led working file. It never validates a method, approves a specification, establishes shelf life or releases a batch.</x:v>
      </x:c>
      <x:c r="B2" s="5"/>
      <x:c r="C2" s="5"/>
      <x:c r="D2" s="5"/>
      <x:c r="E2" s="5"/>
      <x:c r="F2" s="5"/>
      <x:c r="G2" s="5"/>
      <x:c r="H2" s="5"/>
    </x:row>
    <x:row r="4" ht="32" customHeight="1">
      <x:c r="A4" s="8" t="str">
        <x:v>Control</x:v>
      </x:c>
      <x:c r="B4" s="8" t="str">
        <x:v>State</x:v>
      </x:c>
      <x:c r="C4" s="8"/>
      <x:c r="D4" s="8"/>
      <x:c r="E4" s="8"/>
      <x:c r="F4" s="8"/>
      <x:c r="G4" s="8"/>
      <x:c r="H4" s="8"/>
    </x:row>
    <x:row r="5" ht="38" customHeight="1">
      <x:c r="A5" s="10" t="str">
        <x:v>Version</x:v>
      </x:c>
      <x:c r="B5" s="10" t="str">
        <x:v>1.0.0-review</x:v>
      </x:c>
      <x:c r="C5" s="10"/>
      <x:c r="D5" s="10"/>
      <x:c r="E5" s="10"/>
      <x:c r="F5" s="10"/>
      <x:c r="G5" s="10"/>
      <x:c r="H5" s="10"/>
    </x:row>
    <x:row r="6" ht="38" customHeight="1">
      <x:c r="A6" s="10" t="str">
        <x:v>Workbook type</x:v>
      </x:c>
      <x:c r="B6" s="10" t="str">
        <x:v>Blank working file</x:v>
      </x:c>
      <x:c r="C6" s="10"/>
      <x:c r="D6" s="10"/>
      <x:c r="E6" s="10"/>
      <x:c r="F6" s="10"/>
      <x:c r="G6" s="10"/>
      <x:c r="H6" s="10"/>
    </x:row>
    <x:row r="7" ht="38" customHeight="1">
      <x:c r="A7" s="10" t="str">
        <x:v>Open actions</x:v>
      </x:c>
      <x:c r="B7" s="10" t="n">
        <x:f>COUNTIF('Review &amp; Actions'!I5:I30,"Open")</x:f>
        <x:v>0</x:v>
      </x:c>
      <x:c r="C7" s="10"/>
      <x:c r="D7" s="10"/>
      <x:c r="E7" s="10"/>
      <x:c r="F7" s="10"/>
      <x:c r="G7" s="10"/>
      <x:c r="H7" s="10"/>
    </x:row>
    <x:row r="8" ht="38" customHeight="1">
      <x:c r="A8" s="10" t="str">
        <x:v>Evidence gaps</x:v>
      </x:c>
      <x:c r="B8" s="10" t="n">
        <x:f>COUNTIF('Evidence Register'!J5:J30,"Evidence required")</x:f>
        <x:v>26</x:v>
      </x:c>
      <x:c r="C8" s="10"/>
      <x:c r="D8" s="10"/>
      <x:c r="E8" s="10"/>
      <x:c r="F8" s="10"/>
      <x:c r="G8" s="10"/>
      <x:c r="H8" s="10"/>
    </x:row>
    <x:row r="9" ht="38" customHeight="1">
      <x:c r="A9" s="10" t="str">
        <x:v>Global state</x:v>
      </x:c>
      <x:c r="B9" s="10" t="str">
        <x:f>IF(B7&gt;0,"Evidence required",IF(B8&gt;0,"Evidence required","Qualified review required"))</x:f>
        <x:v>Evidence required</x:v>
      </x:c>
      <x:c r="C9" s="10"/>
      <x:c r="D9" s="10"/>
      <x:c r="E9" s="10"/>
      <x:c r="F9" s="10"/>
      <x:c r="G9" s="10"/>
      <x:c r="H9" s="10"/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</x:row>
    <x:row r="11" ht="38" customHeight="1">
      <x:c r="A11" s="11" t="str">
        <x:v>Decision boundary: precision, specification conformance, system suitability or a passing bridge does not alone establish fitness for intended use, stability indication, validation, transfer acceptance or filing acceptance.</x:v>
      </x:c>
      <x:c r="B11" s="11"/>
      <x:c r="C11" s="11"/>
      <x:c r="D11" s="11"/>
      <x:c r="E11" s="11"/>
      <x:c r="F11" s="11"/>
      <x:c r="G11" s="11"/>
      <x:c r="H11" s="11"/>
    </x:row>
    <x:row r="12" ht="38" customHeight="1">
      <x:c r="A12" s="11"/>
      <x:c r="B12" s="11"/>
      <x:c r="C12" s="11"/>
      <x:c r="D12" s="11"/>
      <x:c r="E12" s="11"/>
      <x:c r="F12" s="11"/>
      <x:c r="G12" s="11"/>
      <x:c r="H12" s="11"/>
    </x:row>
  </x:sheetData>
  <x:mergeCells>
    <x:mergeCell ref="A1:H1"/>
    <x:mergeCell ref="A2:H2"/>
    <x:mergeCell ref="A11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2" t="str">
        <x:v>Decision Brief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</x:row>
    <x:row r="4" ht="32" customHeight="1">
      <x:c r="A4" s="8" t="str">
        <x:v>Record ID</x:v>
      </x:c>
      <x:c r="B4" s="8" t="str">
        <x:v>API / form / process</x:v>
      </x:c>
      <x:c r="C4" s="8" t="str">
        <x:v>Attribute / intended use</x:v>
      </x:c>
      <x:c r="D4" s="8" t="str">
        <x:v>Lifecycle / market</x:v>
      </x:c>
      <x:c r="E4" s="8" t="str">
        <x:v>Decision</x:v>
      </x:c>
      <x:c r="F4" s="8" t="str">
        <x:v>Decision owner</x:v>
      </x:c>
      <x:c r="G4" s="8" t="str">
        <x:v>Evidence locator</x:v>
      </x:c>
      <x:c r="H4" s="8" t="str">
        <x:v>Status</x:v>
      </x:c>
    </x:row>
    <x:row r="5" ht="38" customHeight="1">
      <x:c r="A5" s="10"/>
      <x:c r="B5" s="10"/>
      <x:c r="C5" s="10"/>
      <x:c r="D5" s="10"/>
      <x:c r="E5" s="10"/>
      <x:c r="F5" s="10"/>
      <x:c r="G5" s="10"/>
      <x:c r="H5" s="11" t="str">
        <x:f>IF(COUNTA(A5:G5)&lt;7,"Evidence required","Qualified review required")</x:f>
        <x:v>Evidence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1" t="str">
        <x:f>IF(COUNTA(A6:G6)&lt;7,"Evidence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1" t="str">
        <x:f>IF(COUNTA(A7:G7)&lt;7,"Evidence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1" t="str">
        <x:f>IF(COUNTA(A8:G8)&lt;7,"Evidence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1" t="str">
        <x:f>IF(COUNTA(A9:G9)&lt;7,"Evidence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1" t="str">
        <x:f>IF(COUNTA(A10:G10)&lt;7,"Evidence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1" t="str">
        <x:f>IF(COUNTA(A11:G11)&lt;7,"Evidence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1" t="str">
        <x:f>IF(COUNTA(A12:G12)&lt;7,"Evidence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1" t="str">
        <x:f>IF(COUNTA(A13:G13)&lt;7,"Evidence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1" t="str">
        <x:f>IF(COUNTA(A14:G14)&lt;7,"Evidence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1" t="str">
        <x:f>IF(COUNTA(A15:G15)&lt;7,"Evidence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1" t="str">
        <x:f>IF(COUNTA(A16:G16)&lt;7,"Evidence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1" t="str">
        <x:f>IF(COUNTA(A17:G17)&lt;7,"Evidence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1" t="str">
        <x:f>IF(COUNTA(A18:G18)&lt;7,"Evidence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1" t="str">
        <x:f>IF(COUNTA(A19:G19)&lt;7,"Evidence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1" t="str">
        <x:f>IF(COUNTA(A20:G20)&lt;7,"Evidence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1" t="str">
        <x:f>IF(COUNTA(A21:G21)&lt;7,"Evidence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1" t="str">
        <x:f>IF(COUNTA(A22:G22)&lt;7,"Evidence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1" t="str">
        <x:f>IF(COUNTA(A23:G23)&lt;7,"Evidence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1" t="str">
        <x:f>IF(COUNTA(A24:G24)&lt;7,"Evidence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1" t="str">
        <x:f>IF(COUNTA(A25:G25)&lt;7,"Evidence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1" t="str">
        <x:f>IF(COUNTA(A26:G26)&lt;7,"Evidence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1" t="str">
        <x:f>IF(COUNTA(A27:G27)&lt;7,"Evidence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1" t="str">
        <x:f>IF(COUNTA(A28:G28)&lt;7,"Evidence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1" t="str">
        <x:f>IF(COUNTA(A29:G29)&lt;7,"Evidence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1" t="str">
        <x:f>IF(COUNTA(A30:G30)&lt;7,"Evidence required","Qualified review required")</x:f>
        <x:v>Evidence required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Analytical Target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8" t="str">
        <x:v>ATP ID</x:v>
      </x:c>
      <x:c r="B4" s="8" t="str">
        <x:v>Attribute</x:v>
      </x:c>
      <x:c r="C4" s="8" t="str">
        <x:v>Material / matrix</x:v>
      </x:c>
      <x:c r="D4" s="8" t="str">
        <x:v>Intended decision</x:v>
      </x:c>
      <x:c r="E4" s="8" t="str">
        <x:v>Required discrimination</x:v>
      </x:c>
      <x:c r="F4" s="8" t="str">
        <x:v>Reportable range / boundary</x:v>
      </x:c>
      <x:c r="G4" s="8" t="str">
        <x:v>Performance need</x:v>
      </x:c>
      <x:c r="H4" s="8" t="str">
        <x:v>Source / rationale</x:v>
      </x:c>
      <x:c r="I4" s="8" t="str">
        <x:v>Owner</x:v>
      </x:c>
      <x:c r="J4" s="8" t="str">
        <x:v>Row state</x:v>
      </x:c>
    </x:row>
    <x:row r="5" ht="38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1" t="str">
        <x:f>IF(COUNTA(A5:I5)&lt;9,"Evidence required","Qualified review required")</x:f>
        <x:v>Evidence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1" t="str">
        <x:f>IF(COUNTA(A6:I6)&lt;9,"Evidence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1" t="str">
        <x:f>IF(COUNTA(A7:I7)&lt;9,"Evidence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1" t="str">
        <x:f>IF(COUNTA(A8:I8)&lt;9,"Evidence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 t="str">
        <x:f>IF(COUNTA(A9:I9)&lt;9,"Evidence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 t="str">
        <x:f>IF(COUNTA(A10:I10)&lt;9,"Evidence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 t="str">
        <x:f>IF(COUNTA(A11:I11)&lt;9,"Evidence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IF(COUNTA(A12:I12)&lt;9,"Evidence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IF(COUNTA(A13:I13)&lt;9,"Evidence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IF(COUNTA(A14:I14)&lt;9,"Evidence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IF(COUNTA(A15:I15)&lt;9,"Evidence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IF(COUNTA(A16:I16)&lt;9,"Evidence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IF(COUNTA(A17:I17)&lt;9,"Evidence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IF(COUNTA(A18:I18)&lt;9,"Evidence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IF(COUNTA(A19:I19)&lt;9,"Evidence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IF(COUNTA(A20:I20)&lt;9,"Evidence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IF(COUNTA(A21:I21)&lt;9,"Evidence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IF(COUNTA(A22:I22)&lt;9,"Evidence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IF(COUNTA(A23:I23)&lt;9,"Evidence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IF(COUNTA(A24:I24)&lt;9,"Evidence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IF(COUNTA(A25:I25)&lt;9,"Evidence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IF(COUNTA(A26:I26)&lt;9,"Evidence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IF(COUNTA(A27:I27)&lt;9,"Evidence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IF(COUNTA(A28:I28)&lt;9,"Evidence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IF(COUNTA(A29:I29)&lt;9,"Evidence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Attribute Map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8" t="str">
        <x:v>Map ID</x:v>
      </x:c>
      <x:c r="B4" s="8" t="str">
        <x:v>Attribute / impurity</x:v>
      </x:c>
      <x:c r="C4" s="8" t="str">
        <x:v>Origin / process link</x:v>
      </x:c>
      <x:c r="D4" s="8" t="str">
        <x:v>Risk / consequence</x:v>
      </x:c>
      <x:c r="E4" s="8" t="str">
        <x:v>Control layer</x:v>
      </x:c>
      <x:c r="F4" s="8" t="str">
        <x:v>Method purpose</x:v>
      </x:c>
      <x:c r="G4" s="8" t="str">
        <x:v>Stability relevance</x:v>
      </x:c>
      <x:c r="H4" s="8" t="str">
        <x:v>Evidence locator</x:v>
      </x:c>
      <x:c r="I4" s="8" t="str">
        <x:v>Owner</x:v>
      </x:c>
      <x:c r="J4" s="8" t="str">
        <x:v>Row state</x:v>
      </x:c>
    </x:row>
    <x:row r="5" ht="38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1" t="str">
        <x:f>IF(COUNTA(A5:I5)&lt;9,"Evidence required","Qualified review required")</x:f>
        <x:v>Evidence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1" t="str">
        <x:f>IF(COUNTA(A6:I6)&lt;9,"Evidence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1" t="str">
        <x:f>IF(COUNTA(A7:I7)&lt;9,"Evidence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1" t="str">
        <x:f>IF(COUNTA(A8:I8)&lt;9,"Evidence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 t="str">
        <x:f>IF(COUNTA(A9:I9)&lt;9,"Evidence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 t="str">
        <x:f>IF(COUNTA(A10:I10)&lt;9,"Evidence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 t="str">
        <x:f>IF(COUNTA(A11:I11)&lt;9,"Evidence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IF(COUNTA(A12:I12)&lt;9,"Evidence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IF(COUNTA(A13:I13)&lt;9,"Evidence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IF(COUNTA(A14:I14)&lt;9,"Evidence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IF(COUNTA(A15:I15)&lt;9,"Evidence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IF(COUNTA(A16:I16)&lt;9,"Evidence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IF(COUNTA(A17:I17)&lt;9,"Evidence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IF(COUNTA(A18:I18)&lt;9,"Evidence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IF(COUNTA(A19:I19)&lt;9,"Evidence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IF(COUNTA(A20:I20)&lt;9,"Evidence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IF(COUNTA(A21:I21)&lt;9,"Evidence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IF(COUNTA(A22:I22)&lt;9,"Evidence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IF(COUNTA(A23:I23)&lt;9,"Evidence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IF(COUNTA(A24:I24)&lt;9,"Evidence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IF(COUNTA(A25:I25)&lt;9,"Evidence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IF(COUNTA(A26:I26)&lt;9,"Evidence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IF(COUNTA(A27:I27)&lt;9,"Evidence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IF(COUNTA(A28:I28)&lt;9,"Evidence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IF(COUNTA(A29:I29)&lt;9,"Evidence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Procedure Capability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8" t="str">
        <x:v>Method ID</x:v>
      </x:c>
      <x:c r="B4" s="8" t="str">
        <x:v>Procedure / version</x:v>
      </x:c>
      <x:c r="C4" s="8" t="str">
        <x:v>Principle / technology</x:v>
      </x:c>
      <x:c r="D4" s="8" t="str">
        <x:v>Sample / reference</x:v>
      </x:c>
      <x:c r="E4" s="8" t="str">
        <x:v>Specificity / selectivity</x:v>
      </x:c>
      <x:c r="F4" s="8" t="str">
        <x:v>Accuracy / precision / range</x:v>
      </x:c>
      <x:c r="G4" s="8" t="str">
        <x:v>Robustness / SST</x:v>
      </x:c>
      <x:c r="H4" s="8" t="str">
        <x:v>Limitations / open evidence</x:v>
      </x:c>
      <x:c r="I4" s="8" t="str">
        <x:v>Reviewer role</x:v>
      </x:c>
      <x:c r="J4" s="8" t="str">
        <x:v>Row state</x:v>
      </x:c>
    </x:row>
    <x:row r="5" ht="38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1" t="str">
        <x:f>IF(COUNTA(A5:I5)&lt;9,"Evidence required","Qualified review required")</x:f>
        <x:v>Evidence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1" t="str">
        <x:f>IF(COUNTA(A6:I6)&lt;9,"Evidence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1" t="str">
        <x:f>IF(COUNTA(A7:I7)&lt;9,"Evidence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1" t="str">
        <x:f>IF(COUNTA(A8:I8)&lt;9,"Evidence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 t="str">
        <x:f>IF(COUNTA(A9:I9)&lt;9,"Evidence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 t="str">
        <x:f>IF(COUNTA(A10:I10)&lt;9,"Evidence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 t="str">
        <x:f>IF(COUNTA(A11:I11)&lt;9,"Evidence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IF(COUNTA(A12:I12)&lt;9,"Evidence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IF(COUNTA(A13:I13)&lt;9,"Evidence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IF(COUNTA(A14:I14)&lt;9,"Evidence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IF(COUNTA(A15:I15)&lt;9,"Evidence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IF(COUNTA(A16:I16)&lt;9,"Evidence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IF(COUNTA(A17:I17)&lt;9,"Evidence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IF(COUNTA(A18:I18)&lt;9,"Evidence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IF(COUNTA(A19:I19)&lt;9,"Evidence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IF(COUNTA(A20:I20)&lt;9,"Evidence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IF(COUNTA(A21:I21)&lt;9,"Evidence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IF(COUNTA(A22:I22)&lt;9,"Evidence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IF(COUNTA(A23:I23)&lt;9,"Evidence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IF(COUNTA(A24:I24)&lt;9,"Evidence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IF(COUNTA(A25:I25)&lt;9,"Evidence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IF(COUNTA(A26:I26)&lt;9,"Evidence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IF(COUNTA(A27:I27)&lt;9,"Evidence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IF(COUNTA(A28:I28)&lt;9,"Evidence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IF(COUNTA(A29:I29)&lt;9,"Evidence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Specification Basis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8" t="str">
        <x:v>Spec ID</x:v>
      </x:c>
      <x:c r="B4" s="8" t="str">
        <x:v>Attribute</x:v>
      </x:c>
      <x:c r="C4" s="8" t="str">
        <x:v>Decision use</x:v>
      </x:c>
      <x:c r="D4" s="8" t="str">
        <x:v>Process / stability basis</x:v>
      </x:c>
      <x:c r="E4" s="8" t="str">
        <x:v>Method capability basis</x:v>
      </x:c>
      <x:c r="F4" s="8" t="str">
        <x:v>Proposed category</x:v>
      </x:c>
      <x:c r="G4" s="8" t="str">
        <x:v>Limit / criterion status</x:v>
      </x:c>
      <x:c r="H4" s="8" t="str">
        <x:v>Evidence locator</x:v>
      </x:c>
      <x:c r="I4" s="8" t="str">
        <x:v>Reviewer role</x:v>
      </x:c>
      <x:c r="J4" s="8" t="str">
        <x:v>Row state</x:v>
      </x:c>
    </x:row>
    <x:row r="5" ht="38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1" t="str">
        <x:f>IF(COUNTA(A5:I5)&lt;9,"Evidence required","Qualified review required")</x:f>
        <x:v>Evidence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1" t="str">
        <x:f>IF(COUNTA(A6:I6)&lt;9,"Evidence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1" t="str">
        <x:f>IF(COUNTA(A7:I7)&lt;9,"Evidence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1" t="str">
        <x:f>IF(COUNTA(A8:I8)&lt;9,"Evidence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 t="str">
        <x:f>IF(COUNTA(A9:I9)&lt;9,"Evidence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 t="str">
        <x:f>IF(COUNTA(A10:I10)&lt;9,"Evidence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 t="str">
        <x:f>IF(COUNTA(A11:I11)&lt;9,"Evidence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IF(COUNTA(A12:I12)&lt;9,"Evidence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IF(COUNTA(A13:I13)&lt;9,"Evidence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IF(COUNTA(A14:I14)&lt;9,"Evidence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IF(COUNTA(A15:I15)&lt;9,"Evidence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IF(COUNTA(A16:I16)&lt;9,"Evidence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IF(COUNTA(A17:I17)&lt;9,"Evidence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IF(COUNTA(A18:I18)&lt;9,"Evidence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IF(COUNTA(A19:I19)&lt;9,"Evidence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IF(COUNTA(A20:I20)&lt;9,"Evidence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IF(COUNTA(A21:I21)&lt;9,"Evidence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IF(COUNTA(A22:I22)&lt;9,"Evidence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IF(COUNTA(A23:I23)&lt;9,"Evidence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IF(COUNTA(A24:I24)&lt;9,"Evidence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IF(COUNTA(A25:I25)&lt;9,"Evidence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IF(COUNTA(A26:I26)&lt;9,"Evidence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IF(COUNTA(A27:I27)&lt;9,"Evidence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IF(COUNTA(A28:I28)&lt;9,"Evidence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IF(COUNTA(A29:I29)&lt;9,"Evidence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Stability Evidence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8" t="str">
        <x:v>Stab ID</x:v>
      </x:c>
      <x:c r="B4" s="8" t="str">
        <x:v>API / form</x:v>
      </x:c>
      <x:c r="C4" s="8" t="str">
        <x:v>Study / storage context</x:v>
      </x:c>
      <x:c r="D4" s="8" t="str">
        <x:v>Timepoint / sample</x:v>
      </x:c>
      <x:c r="E4" s="8" t="str">
        <x:v>Method stability indication</x:v>
      </x:c>
      <x:c r="F4" s="8" t="str">
        <x:v>Trend / observation</x:v>
      </x:c>
      <x:c r="G4" s="8" t="str">
        <x:v>Packaging / sample limitation</x:v>
      </x:c>
      <x:c r="H4" s="8" t="str">
        <x:v>Commitment / decision</x:v>
      </x:c>
      <x:c r="I4" s="8" t="str">
        <x:v>Owner</x:v>
      </x:c>
      <x:c r="J4" s="8" t="str">
        <x:v>Row state</x:v>
      </x:c>
    </x:row>
    <x:row r="5" ht="38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1" t="str">
        <x:f>IF(COUNTA(A5:I5)&lt;9,"Evidence required","Qualified review required")</x:f>
        <x:v>Evidence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1" t="str">
        <x:f>IF(COUNTA(A6:I6)&lt;9,"Evidence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1" t="str">
        <x:f>IF(COUNTA(A7:I7)&lt;9,"Evidence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1" t="str">
        <x:f>IF(COUNTA(A8:I8)&lt;9,"Evidence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 t="str">
        <x:f>IF(COUNTA(A9:I9)&lt;9,"Evidence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 t="str">
        <x:f>IF(COUNTA(A10:I10)&lt;9,"Evidence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 t="str">
        <x:f>IF(COUNTA(A11:I11)&lt;9,"Evidence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IF(COUNTA(A12:I12)&lt;9,"Evidence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IF(COUNTA(A13:I13)&lt;9,"Evidence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IF(COUNTA(A14:I14)&lt;9,"Evidence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IF(COUNTA(A15:I15)&lt;9,"Evidence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IF(COUNTA(A16:I16)&lt;9,"Evidence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IF(COUNTA(A17:I17)&lt;9,"Evidence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IF(COUNTA(A18:I18)&lt;9,"Evidence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IF(COUNTA(A19:I19)&lt;9,"Evidence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IF(COUNTA(A20:I20)&lt;9,"Evidence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IF(COUNTA(A21:I21)&lt;9,"Evidence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IF(COUNTA(A22:I22)&lt;9,"Evidence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IF(COUNTA(A23:I23)&lt;9,"Evidence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IF(COUNTA(A24:I24)&lt;9,"Evidence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IF(COUNTA(A25:I25)&lt;9,"Evidence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IF(COUNTA(A26:I26)&lt;9,"Evidence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IF(COUNTA(A27:I27)&lt;9,"Evidence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IF(COUNTA(A28:I28)&lt;9,"Evidence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IF(COUNTA(A29:I29)&lt;9,"Evidence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Transfer Assessment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8" t="str">
        <x:v>Transfer ID</x:v>
      </x:c>
      <x:c r="B4" s="8" t="str">
        <x:v>Method / version</x:v>
      </x:c>
      <x:c r="C4" s="8" t="str">
        <x:v>Sending → receiving</x:v>
      </x:c>
      <x:c r="D4" s="8" t="str">
        <x:v>Instrument / column / prep differences</x:v>
      </x:c>
      <x:c r="E4" s="8" t="str">
        <x:v>Reference / material bridge</x:v>
      </x:c>
      <x:c r="F4" s="8" t="str">
        <x:v>Performance / comparability evidence</x:v>
      </x:c>
      <x:c r="G4" s="8" t="str">
        <x:v>Training / deviation</x:v>
      </x:c>
      <x:c r="H4" s="8" t="str">
        <x:v>Implementation status</x:v>
      </x:c>
      <x:c r="I4" s="8" t="str">
        <x:v>Owner</x:v>
      </x:c>
      <x:c r="J4" s="8" t="str">
        <x:v>Row state</x:v>
      </x:c>
    </x:row>
    <x:row r="5" ht="38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1" t="str">
        <x:f>IF(COUNTA(A5:I5)&lt;9,"Evidence required","Qualified review required")</x:f>
        <x:v>Evidence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1" t="str">
        <x:f>IF(COUNTA(A6:I6)&lt;9,"Evidence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1" t="str">
        <x:f>IF(COUNTA(A7:I7)&lt;9,"Evidence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1" t="str">
        <x:f>IF(COUNTA(A8:I8)&lt;9,"Evidence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 t="str">
        <x:f>IF(COUNTA(A9:I9)&lt;9,"Evidence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 t="str">
        <x:f>IF(COUNTA(A10:I10)&lt;9,"Evidence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 t="str">
        <x:f>IF(COUNTA(A11:I11)&lt;9,"Evidence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IF(COUNTA(A12:I12)&lt;9,"Evidence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IF(COUNTA(A13:I13)&lt;9,"Evidence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IF(COUNTA(A14:I14)&lt;9,"Evidence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IF(COUNTA(A15:I15)&lt;9,"Evidence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IF(COUNTA(A16:I16)&lt;9,"Evidence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IF(COUNTA(A17:I17)&lt;9,"Evidence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IF(COUNTA(A18:I18)&lt;9,"Evidence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IF(COUNTA(A19:I19)&lt;9,"Evidence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IF(COUNTA(A20:I20)&lt;9,"Evidence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IF(COUNTA(A21:I21)&lt;9,"Evidence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IF(COUNTA(A22:I22)&lt;9,"Evidence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IF(COUNTA(A23:I23)&lt;9,"Evidence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IF(COUNTA(A24:I24)&lt;9,"Evidence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IF(COUNTA(A25:I25)&lt;9,"Evidence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IF(COUNTA(A26:I26)&lt;9,"Evidence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IF(COUNTA(A27:I27)&lt;9,"Evidence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IF(COUNTA(A28:I28)&lt;9,"Evidence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IF(COUNTA(A29:I29)&lt;9,"Evidence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Change &amp; Filing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8" t="str">
        <x:v>Change ID</x:v>
      </x:c>
      <x:c r="B4" s="8" t="str">
        <x:v>Exact change</x:v>
      </x:c>
      <x:c r="C4" s="8" t="str">
        <x:v>Affected attribute / method</x:v>
      </x:c>
      <x:c r="D4" s="8" t="str">
        <x:v>Process / site / instrument impact</x:v>
      </x:c>
      <x:c r="E4" s="8" t="str">
        <x:v>Stability / validation impact</x:v>
      </x:c>
      <x:c r="F4" s="8" t="str">
        <x:v>Filing / reporting question</x:v>
      </x:c>
      <x:c r="G4" s="8" t="str">
        <x:v>Evidence plan</x:v>
      </x:c>
      <x:c r="H4" s="8" t="str">
        <x:v>Authorized decision</x:v>
      </x:c>
      <x:c r="I4" s="8" t="str">
        <x:v>Owner / due</x:v>
      </x:c>
      <x:c r="J4" s="8" t="str">
        <x:v>Row state</x:v>
      </x:c>
    </x:row>
    <x:row r="5" ht="38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1" t="str">
        <x:f>IF(COUNTA(A5:I5)&lt;9,"Evidence required","Qualified review required")</x:f>
        <x:v>Evidence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1" t="str">
        <x:f>IF(COUNTA(A6:I6)&lt;9,"Evidence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1" t="str">
        <x:f>IF(COUNTA(A7:I7)&lt;9,"Evidence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1" t="str">
        <x:f>IF(COUNTA(A8:I8)&lt;9,"Evidence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 t="str">
        <x:f>IF(COUNTA(A9:I9)&lt;9,"Evidence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 t="str">
        <x:f>IF(COUNTA(A10:I10)&lt;9,"Evidence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 t="str">
        <x:f>IF(COUNTA(A11:I11)&lt;9,"Evidence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IF(COUNTA(A12:I12)&lt;9,"Evidence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IF(COUNTA(A13:I13)&lt;9,"Evidence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IF(COUNTA(A14:I14)&lt;9,"Evidence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IF(COUNTA(A15:I15)&lt;9,"Evidence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IF(COUNTA(A16:I16)&lt;9,"Evidence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IF(COUNTA(A17:I17)&lt;9,"Evidence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IF(COUNTA(A18:I18)&lt;9,"Evidence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IF(COUNTA(A19:I19)&lt;9,"Evidence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IF(COUNTA(A20:I20)&lt;9,"Evidence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IF(COUNTA(A21:I21)&lt;9,"Evidence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IF(COUNTA(A22:I22)&lt;9,"Evidence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IF(COUNTA(A23:I23)&lt;9,"Evidence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IF(COUNTA(A24:I24)&lt;9,"Evidence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IF(COUNTA(A25:I25)&lt;9,"Evidence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IF(COUNTA(A26:I26)&lt;9,"Evidence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IF(COUNTA(A27:I27)&lt;9,"Evidence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IF(COUNTA(A28:I28)&lt;9,"Evidence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IF(COUNTA(A29:I29)&lt;9,"Evidence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Evidence Register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8" t="str">
        <x:v>Evidence ID</x:v>
      </x:c>
      <x:c r="B4" s="8" t="str">
        <x:v>Source / record</x:v>
      </x:c>
      <x:c r="C4" s="8" t="str">
        <x:v>Version / date</x:v>
      </x:c>
      <x:c r="D4" s="8" t="str">
        <x:v>Applies to</x:v>
      </x:c>
      <x:c r="E4" s="8" t="str">
        <x:v>Evidence strength</x:v>
      </x:c>
      <x:c r="F4" s="8" t="str">
        <x:v>Locator</x:v>
      </x:c>
      <x:c r="G4" s="8" t="str">
        <x:v>Limitation</x:v>
      </x:c>
      <x:c r="H4" s="8" t="str">
        <x:v>Owner</x:v>
      </x:c>
      <x:c r="I4" s="8" t="str">
        <x:v>Verification state</x:v>
      </x:c>
      <x:c r="J4" s="8" t="str">
        <x:v>Row state</x:v>
      </x:c>
    </x:row>
    <x:row r="5" ht="38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1" t="str">
        <x:f>IF(COUNTA(A5:I5)&lt;9,"Evidence required","Qualified review required")</x:f>
        <x:v>Evidence required</x:v>
      </x:c>
    </x:row>
    <x:row r="6" ht="3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1" t="str">
        <x:f>IF(COUNTA(A6:I6)&lt;9,"Evidence required","Qualified review required")</x:f>
        <x:v>Evidence required</x:v>
      </x:c>
    </x:row>
    <x:row r="7" ht="38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1" t="str">
        <x:f>IF(COUNTA(A7:I7)&lt;9,"Evidence required","Qualified review required")</x:f>
        <x:v>Evidence required</x:v>
      </x:c>
    </x:row>
    <x:row r="8" ht="38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1" t="str">
        <x:f>IF(COUNTA(A8:I8)&lt;9,"Evidence required","Qualified review required")</x:f>
        <x:v>Evidence required</x:v>
      </x:c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1" t="str">
        <x:f>IF(COUNTA(A9:I9)&lt;9,"Evidence required","Qualified review required")</x:f>
        <x:v>Evidence required</x:v>
      </x:c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1" t="str">
        <x:f>IF(COUNTA(A10:I10)&lt;9,"Evidence required","Qualified review required")</x:f>
        <x:v>Evidence required</x:v>
      </x:c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1" t="str">
        <x:f>IF(COUNTA(A11:I11)&lt;9,"Evidence required","Qualified review required")</x:f>
        <x:v>Evidence required</x:v>
      </x:c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1" t="str">
        <x:f>IF(COUNTA(A12:I12)&lt;9,"Evidence required","Qualified review required")</x:f>
        <x:v>Evidence required</x:v>
      </x:c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1" t="str">
        <x:f>IF(COUNTA(A13:I13)&lt;9,"Evidence required","Qualified review required")</x:f>
        <x:v>Evidence required</x:v>
      </x:c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1" t="str">
        <x:f>IF(COUNTA(A14:I14)&lt;9,"Evidence required","Qualified review required")</x:f>
        <x:v>Evidence required</x:v>
      </x:c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1" t="str">
        <x:f>IF(COUNTA(A15:I15)&lt;9,"Evidence required","Qualified review required")</x:f>
        <x:v>Evidence required</x:v>
      </x:c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1" t="str">
        <x:f>IF(COUNTA(A16:I16)&lt;9,"Evidence required","Qualified review required")</x:f>
        <x:v>Evidence required</x:v>
      </x:c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1" t="str">
        <x:f>IF(COUNTA(A17:I17)&lt;9,"Evidence required","Qualified review required")</x:f>
        <x:v>Evidence required</x:v>
      </x:c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1" t="str">
        <x:f>IF(COUNTA(A18:I18)&lt;9,"Evidence required","Qualified review required")</x:f>
        <x:v>Evidence required</x:v>
      </x:c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1" t="str">
        <x:f>IF(COUNTA(A19:I19)&lt;9,"Evidence required","Qualified review required")</x:f>
        <x:v>Evidence required</x:v>
      </x:c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1" t="str">
        <x:f>IF(COUNTA(A20:I20)&lt;9,"Evidence required","Qualified review required")</x:f>
        <x:v>Evidence required</x:v>
      </x:c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1" t="str">
        <x:f>IF(COUNTA(A21:I21)&lt;9,"Evidence required","Qualified review required")</x:f>
        <x:v>Evidence required</x:v>
      </x:c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1" t="str">
        <x:f>IF(COUNTA(A22:I22)&lt;9,"Evidence required","Qualified review required")</x:f>
        <x:v>Evidence required</x:v>
      </x:c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1" t="str">
        <x:f>IF(COUNTA(A23:I23)&lt;9,"Evidence required","Qualified review required")</x:f>
        <x:v>Evidence required</x:v>
      </x:c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1" t="str">
        <x:f>IF(COUNTA(A24:I24)&lt;9,"Evidence required","Qualified review required")</x:f>
        <x:v>Evidence required</x:v>
      </x:c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1" t="str">
        <x:f>IF(COUNTA(A25:I25)&lt;9,"Evidence required","Qualified review required")</x:f>
        <x:v>Evidence required</x:v>
      </x:c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1" t="str">
        <x:f>IF(COUNTA(A26:I26)&lt;9,"Evidence required","Qualified review required")</x:f>
        <x:v>Evidence required</x:v>
      </x:c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1" t="str">
        <x:f>IF(COUNTA(A27:I27)&lt;9,"Evidence required","Qualified review required")</x:f>
        <x:v>Evidence required</x:v>
      </x:c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1" t="str">
        <x:f>IF(COUNTA(A28:I28)&lt;9,"Evidence required","Qualified review required")</x:f>
        <x:v>Evidence required</x:v>
      </x:c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1" t="str">
        <x:f>IF(COUNTA(A29:I29)&lt;9,"Evidence required","Qualified review required")</x:f>
        <x:v>Evidence required</x:v>
      </x:c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1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2" t="str">
        <x:v>Review &amp; Actions</x:v>
      </x:c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5" t="str">
        <x:v>Enter controlled evidence only. Blank or incomplete records fail closed; completion never equals approval.</x:v>
      </x:c>
      <x:c r="B2" s="5"/>
      <x:c r="C2" s="5"/>
      <x:c r="D2" s="5"/>
      <x:c r="E2" s="5"/>
      <x:c r="F2" s="5"/>
      <x:c r="G2" s="5"/>
      <x:c r="H2" s="5"/>
      <x:c r="I2" s="5"/>
    </x:row>
    <x:row r="4" ht="32" customHeight="1">
      <x:c r="A4" s="8" t="str">
        <x:v>Item ID</x:v>
      </x:c>
      <x:c r="B4" s="8" t="str">
        <x:v>Type</x:v>
      </x:c>
      <x:c r="C4" s="8" t="str">
        <x:v>Question / action</x:v>
      </x:c>
      <x:c r="D4" s="8" t="str">
        <x:v>Owner</x:v>
      </x:c>
      <x:c r="E4" s="8" t="str">
        <x:v>Due date</x:v>
      </x:c>
      <x:c r="F4" s="8" t="str">
        <x:v>Evidence / response</x:v>
      </x:c>
      <x:c r="G4" s="8" t="str">
        <x:v>Reviewer role</x:v>
      </x:c>
      <x:c r="H4" s="8" t="str">
        <x:v>Disposition</x:v>
      </x:c>
      <x:c r="I4" s="8" t="str">
        <x:v>Status</x:v>
      </x:c>
    </x:row>
    <x:row r="5" ht="38" customHeight="1">
      <x:c r="A5" s="10"/>
      <x:c r="B5" s="10"/>
      <x:c r="C5" s="10"/>
      <x:c r="D5" s="10"/>
      <x:c r="E5" s="10"/>
      <x:c r="F5" s="10"/>
      <x:c r="G5" s="10"/>
      <x:c r="H5" s="10"/>
      <x:c r="I5" s="10"/>
    </x:row>
    <x:row r="6" ht="38" customHeight="1">
      <x:c r="A6" s="10"/>
      <x:c r="B6" s="10"/>
      <x:c r="C6" s="10"/>
      <x:c r="D6" s="10"/>
      <x:c r="E6" s="10"/>
      <x:c r="F6" s="10"/>
      <x:c r="G6" s="10"/>
      <x:c r="H6" s="10"/>
      <x:c r="I6" s="10"/>
    </x:row>
    <x:row r="7" ht="38" customHeight="1">
      <x:c r="A7" s="10"/>
      <x:c r="B7" s="10"/>
      <x:c r="C7" s="10"/>
      <x:c r="D7" s="10"/>
      <x:c r="E7" s="10"/>
      <x:c r="F7" s="10"/>
      <x:c r="G7" s="10"/>
      <x:c r="H7" s="10"/>
      <x:c r="I7" s="10"/>
    </x:row>
    <x:row r="8" ht="38" customHeight="1">
      <x:c r="A8" s="10"/>
      <x:c r="B8" s="10"/>
      <x:c r="C8" s="10"/>
      <x:c r="D8" s="10"/>
      <x:c r="E8" s="10"/>
      <x:c r="F8" s="10"/>
      <x:c r="G8" s="10"/>
      <x:c r="H8" s="10"/>
      <x:c r="I8" s="10"/>
    </x:row>
    <x:row r="9" ht="38" customHeight="1">
      <x:c r="A9" s="10"/>
      <x:c r="B9" s="10"/>
      <x:c r="C9" s="10"/>
      <x:c r="D9" s="10"/>
      <x:c r="E9" s="10"/>
      <x:c r="F9" s="10"/>
      <x:c r="G9" s="10"/>
      <x:c r="H9" s="10"/>
      <x:c r="I9" s="10"/>
    </x:row>
    <x:row r="10" ht="38" customHeight="1">
      <x:c r="A10" s="10"/>
      <x:c r="B10" s="10"/>
      <x:c r="C10" s="10"/>
      <x:c r="D10" s="10"/>
      <x:c r="E10" s="10"/>
      <x:c r="F10" s="10"/>
      <x:c r="G10" s="10"/>
      <x:c r="H10" s="10"/>
      <x:c r="I10" s="10"/>
    </x:row>
    <x:row r="11" ht="38" customHeight="1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ht="38" customHeight="1">
      <x:c r="A12" s="10"/>
      <x:c r="B12" s="10"/>
      <x:c r="C12" s="10"/>
      <x:c r="D12" s="10"/>
      <x:c r="E12" s="10"/>
      <x:c r="F12" s="10"/>
      <x:c r="G12" s="10"/>
      <x:c r="H12" s="10"/>
      <x:c r="I12" s="10"/>
    </x:row>
    <x:row r="13" ht="38" customHeight="1">
      <x:c r="A13" s="10"/>
      <x:c r="B13" s="10"/>
      <x:c r="C13" s="10"/>
      <x:c r="D13" s="10"/>
      <x:c r="E13" s="10"/>
      <x:c r="F13" s="10"/>
      <x:c r="G13" s="10"/>
      <x:c r="H13" s="10"/>
      <x:c r="I13" s="10"/>
    </x:row>
    <x:row r="14" ht="38" customHeight="1">
      <x:c r="A14" s="10"/>
      <x:c r="B14" s="10"/>
      <x:c r="C14" s="10"/>
      <x:c r="D14" s="10"/>
      <x:c r="E14" s="10"/>
      <x:c r="F14" s="10"/>
      <x:c r="G14" s="10"/>
      <x:c r="H14" s="10"/>
      <x:c r="I14" s="10"/>
    </x:row>
    <x:row r="15" ht="38" customHeight="1">
      <x:c r="A15" s="10"/>
      <x:c r="B15" s="10"/>
      <x:c r="C15" s="10"/>
      <x:c r="D15" s="10"/>
      <x:c r="E15" s="10"/>
      <x:c r="F15" s="10"/>
      <x:c r="G15" s="10"/>
      <x:c r="H15" s="10"/>
      <x:c r="I15" s="10"/>
    </x:row>
    <x:row r="16" ht="38" customHeight="1">
      <x:c r="A16" s="10"/>
      <x:c r="B16" s="10"/>
      <x:c r="C16" s="10"/>
      <x:c r="D16" s="10"/>
      <x:c r="E16" s="10"/>
      <x:c r="F16" s="10"/>
      <x:c r="G16" s="10"/>
      <x:c r="H16" s="10"/>
      <x:c r="I16" s="10"/>
    </x:row>
    <x:row r="17" ht="38" customHeight="1">
      <x:c r="A17" s="10"/>
      <x:c r="B17" s="10"/>
      <x:c r="C17" s="10"/>
      <x:c r="D17" s="10"/>
      <x:c r="E17" s="10"/>
      <x:c r="F17" s="10"/>
      <x:c r="G17" s="10"/>
      <x:c r="H17" s="10"/>
      <x:c r="I17" s="10"/>
    </x:row>
    <x:row r="18" ht="38" customHeight="1">
      <x:c r="A18" s="10"/>
      <x:c r="B18" s="10"/>
      <x:c r="C18" s="10"/>
      <x:c r="D18" s="10"/>
      <x:c r="E18" s="10"/>
      <x:c r="F18" s="10"/>
      <x:c r="G18" s="10"/>
      <x:c r="H18" s="10"/>
      <x:c r="I18" s="10"/>
    </x:row>
    <x:row r="19" ht="38" customHeight="1">
      <x:c r="A19" s="10"/>
      <x:c r="B19" s="10"/>
      <x:c r="C19" s="10"/>
      <x:c r="D19" s="10"/>
      <x:c r="E19" s="10"/>
      <x:c r="F19" s="10"/>
      <x:c r="G19" s="10"/>
      <x:c r="H19" s="10"/>
      <x:c r="I19" s="10"/>
    </x:row>
    <x:row r="20" ht="38" customHeight="1">
      <x:c r="A20" s="10"/>
      <x:c r="B20" s="10"/>
      <x:c r="C20" s="10"/>
      <x:c r="D20" s="10"/>
      <x:c r="E20" s="10"/>
      <x:c r="F20" s="10"/>
      <x:c r="G20" s="10"/>
      <x:c r="H20" s="10"/>
      <x:c r="I20" s="10"/>
    </x:row>
    <x:row r="21" ht="38" customHeight="1">
      <x:c r="A21" s="10"/>
      <x:c r="B21" s="10"/>
      <x:c r="C21" s="10"/>
      <x:c r="D21" s="10"/>
      <x:c r="E21" s="10"/>
      <x:c r="F21" s="10"/>
      <x:c r="G21" s="10"/>
      <x:c r="H21" s="10"/>
      <x:c r="I21" s="10"/>
    </x:row>
    <x:row r="22" ht="38" customHeight="1">
      <x:c r="A22" s="10"/>
      <x:c r="B22" s="10"/>
      <x:c r="C22" s="10"/>
      <x:c r="D22" s="10"/>
      <x:c r="E22" s="10"/>
      <x:c r="F22" s="10"/>
      <x:c r="G22" s="10"/>
      <x:c r="H22" s="10"/>
      <x:c r="I22" s="10"/>
    </x:row>
    <x:row r="23" ht="38" customHeight="1">
      <x:c r="A23" s="10"/>
      <x:c r="B23" s="10"/>
      <x:c r="C23" s="10"/>
      <x:c r="D23" s="10"/>
      <x:c r="E23" s="10"/>
      <x:c r="F23" s="10"/>
      <x:c r="G23" s="10"/>
      <x:c r="H23" s="10"/>
      <x:c r="I23" s="10"/>
    </x:row>
    <x:row r="24" ht="38" customHeight="1">
      <x:c r="A24" s="10"/>
      <x:c r="B24" s="10"/>
      <x:c r="C24" s="10"/>
      <x:c r="D24" s="10"/>
      <x:c r="E24" s="10"/>
      <x:c r="F24" s="10"/>
      <x:c r="G24" s="10"/>
      <x:c r="H24" s="10"/>
      <x:c r="I24" s="10"/>
    </x:row>
    <x:row r="25" ht="38" customHeight="1">
      <x:c r="A25" s="10"/>
      <x:c r="B25" s="10"/>
      <x:c r="C25" s="10"/>
      <x:c r="D25" s="10"/>
      <x:c r="E25" s="10"/>
      <x:c r="F25" s="10"/>
      <x:c r="G25" s="10"/>
      <x:c r="H25" s="10"/>
      <x:c r="I25" s="10"/>
    </x:row>
    <x:row r="26" ht="38" customHeight="1">
      <x:c r="A26" s="10"/>
      <x:c r="B26" s="10"/>
      <x:c r="C26" s="10"/>
      <x:c r="D26" s="10"/>
      <x:c r="E26" s="10"/>
      <x:c r="F26" s="10"/>
      <x:c r="G26" s="10"/>
      <x:c r="H26" s="10"/>
      <x:c r="I26" s="10"/>
    </x:row>
    <x:row r="27" ht="38" customHeight="1">
      <x:c r="A27" s="10"/>
      <x:c r="B27" s="10"/>
      <x:c r="C27" s="10"/>
      <x:c r="D27" s="10"/>
      <x:c r="E27" s="10"/>
      <x:c r="F27" s="10"/>
      <x:c r="G27" s="10"/>
      <x:c r="H27" s="10"/>
      <x:c r="I27" s="10"/>
    </x:row>
    <x:row r="28" ht="38" customHeight="1">
      <x:c r="A28" s="10"/>
      <x:c r="B28" s="10"/>
      <x:c r="C28" s="10"/>
      <x:c r="D28" s="10"/>
      <x:c r="E28" s="10"/>
      <x:c r="F28" s="10"/>
      <x:c r="G28" s="10"/>
      <x:c r="H28" s="10"/>
      <x:c r="I28" s="10"/>
    </x:row>
    <x:row r="29" ht="38" customHeight="1">
      <x:c r="A29" s="10"/>
      <x:c r="B29" s="10"/>
      <x:c r="C29" s="10"/>
      <x:c r="D29" s="10"/>
      <x:c r="E29" s="10"/>
      <x:c r="F29" s="10"/>
      <x:c r="G29" s="10"/>
      <x:c r="H29" s="10"/>
      <x:c r="I29" s="10"/>
    </x:row>
    <x:row r="30" ht="38" customHeight="1">
      <x:c r="A30" s="10"/>
      <x:c r="B30" s="10"/>
      <x:c r="C30" s="10"/>
      <x:c r="D30" s="10"/>
      <x:c r="E30" s="10"/>
      <x:c r="F30" s="10"/>
      <x:c r="G30" s="10"/>
      <x:c r="H30" s="10"/>
      <x:c r="I30" s="10"/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2" t="str">
        <x:v>Sources &amp; Control</x:v>
      </x:c>
      <x:c r="B1" s="2"/>
      <x:c r="C1" s="2"/>
      <x:c r="D1" s="2"/>
      <x:c r="E1" s="2"/>
    </x:row>
    <x:row r="2" ht="34" customHeight="1">
      <x:c r="A2" s="5" t="str">
        <x:v>Official source locators and controlled-use boundaries. Verify current applicability before use.</x:v>
      </x:c>
      <x:c r="B2" s="5"/>
      <x:c r="C2" s="5"/>
      <x:c r="D2" s="5"/>
      <x:c r="E2" s="5"/>
    </x:row>
    <x:row r="4" ht="32" customHeight="1">
      <x:c r="A4" s="8" t="str">
        <x:v>Source ID</x:v>
      </x:c>
      <x:c r="B4" s="8" t="str">
        <x:v>Title / decision use</x:v>
      </x:c>
      <x:c r="C4" s="8" t="str">
        <x:v>Official locator</x:v>
      </x:c>
      <x:c r="D4" s="8" t="str">
        <x:v>Lifecycle / verification</x:v>
      </x:c>
      <x:c r="E4" s="8" t="str">
        <x:v>Boundary / limitation</x:v>
      </x:c>
    </x:row>
    <x:row r="5" ht="38" customHeight="1">
      <x:c r="A5" s="10" t="str">
        <x:v>ICH-Q14</x:v>
      </x:c>
      <x:c r="B5" s="10" t="str">
        <x:v>Analytical Procedure Development</x:v>
      </x:c>
      <x:c r="C5" s="10" t="str">
        <x:v>https://database.ich.org/sites/default/files/ICH_Q14_Guideline_2023_1116.pdf</x:v>
      </x:c>
      <x:c r="D5" s="10" t="str">
        <x:v>Current / verified 2026-08-09</x:v>
      </x:c>
      <x:c r="E5" s="10" t="str">
        <x:v>No product-specific procedure or criterion</x:v>
      </x:c>
    </x:row>
    <x:row r="6" ht="38" customHeight="1">
      <x:c r="A6" s="10" t="str">
        <x:v>ICH-Q2-R2</x:v>
      </x:c>
      <x:c r="B6" s="10" t="str">
        <x:v>Validation of Analytical Procedures</x:v>
      </x:c>
      <x:c r="C6" s="10" t="str">
        <x:v>https://database.ich.org/sites/default/files/ICH_Q2-R2_Guideline_2023_1130.pdf</x:v>
      </x:c>
      <x:c r="D6" s="10" t="str">
        <x:v>Current / verified</x:v>
      </x:c>
      <x:c r="E6" s="10" t="str">
        <x:v>No product-specific validation conclusion</x:v>
      </x:c>
    </x:row>
    <x:row r="7" ht="38" customHeight="1">
      <x:c r="A7" s="10" t="str">
        <x:v>ICH-Q6A</x:v>
      </x:c>
      <x:c r="B7" s="10" t="str">
        <x:v>Specifications</x:v>
      </x:c>
      <x:c r="C7" s="10" t="str">
        <x:v>https://database.ich.org/sites/default/files/Q6A%20Guideline.pdf</x:v>
      </x:c>
      <x:c r="D7" s="10" t="str">
        <x:v>Current; revision watch</x:v>
      </x:c>
      <x:c r="E7" s="10" t="str">
        <x:v>No product-specific specification</x:v>
      </x:c>
    </x:row>
    <x:row r="8" ht="38" customHeight="1">
      <x:c r="A8" s="10" t="str">
        <x:v>ICH-Q1A-R2</x:v>
      </x:c>
      <x:c r="B8" s="10" t="str">
        <x:v>Stability Testing</x:v>
      </x:c>
      <x:c r="C8" s="10" t="str">
        <x:v>https://database.ich.org/sites/default/files/Q1A%28R2%29%20Step4.pdf</x:v>
      </x:c>
      <x:c r="D8" s="10" t="str">
        <x:v>Current; revision watch</x:v>
      </x:c>
      <x:c r="E8" s="10" t="str">
        <x:v>No product-specific shelf life or retest</x:v>
      </x:c>
    </x:row>
    <x:row r="9" ht="38" customHeight="1">
      <x:c r="A9" s="10" t="str">
        <x:v>ICH-Q7</x:v>
      </x:c>
      <x:c r="B9" s="10" t="str">
        <x:v>GMP Guide for APIs</x:v>
      </x:c>
      <x:c r="C9" s="10" t="str">
        <x:v>https://database.ich.org/sites/default/files/Q7_Guideline.pdf</x:v>
      </x:c>
      <x:c r="D9" s="10" t="str">
        <x:v>Current / verified</x:v>
      </x:c>
      <x:c r="E9" s="10" t="str">
        <x:v>Confirm API and regional scope</x:v>
      </x:c>
    </x:row>
    <x:row r="10" ht="38" customHeight="1">
      <x:c r="A10" s="10" t="str">
        <x:v>ICH-Q9-R1 / ICH-Q10</x:v>
      </x:c>
      <x:c r="B10" s="10" t="str">
        <x:v>Risk and Pharmaceutical Quality System</x:v>
      </x:c>
      <x:c r="C10" s="10" t="str">
        <x:v>https://database.ich.org/sites/default/files/ICH_Q9-R1_Guideline_Step4_2022_1219.pdf</x:v>
      </x:c>
      <x:c r="D10" s="10" t="str">
        <x:v>Current / verified</x:v>
      </x:c>
      <x:c r="E10" s="10" t="str">
        <x:v>Risk score cannot close missing evidence</x:v>
      </x:c>
    </x:row>
    <x:row r="11" ht="38" customHeight="1">
      <x:c r="A11" s="10" t="str">
        <x:v>FDA-ANALYTICAL-PROCEDURES-2015</x:v>
      </x:c>
      <x:c r="B11" s="10" t="str">
        <x:v>Analytical Procedures and Methods Validation for Drugs and Biologics</x:v>
      </x:c>
      <x:c r="C11" s="10" t="str">
        <x:v>https://www.fda.gov/regulatory-information/search-fda-guidance-documents/analytical-procedures-and-methods-validation-drugs-and-biologics</x:v>
      </x:c>
      <x:c r="D11" s="10" t="str">
        <x:v>Current / verified 2026-08-09</x:v>
      </x:c>
      <x:c r="E11" s="10" t="str">
        <x:v>Public nonbinding guidance; no product-specific approval</x:v>
      </x:c>
    </x:row>
    <x:row r="12" ht="38" customHeight="1">
      <x:c r="A12" s="10" t="str">
        <x:v>FDA-PROCESS-VALIDATION-2011</x:v>
      </x:c>
      <x:c r="B12" s="10" t="str">
        <x:v>Process Validation: General Principles and Practices</x:v>
      </x:c>
      <x:c r="C12" s="10" t="str">
        <x:v>https://www.fda.gov/regulatory-information/search-fda-guidance-documents/process-validation-general-principles-and-practices</x:v>
      </x:c>
      <x:c r="D12" s="10" t="str">
        <x:v>Current / verified</x:v>
      </x:c>
      <x:c r="E12" s="10" t="str">
        <x:v>Verify product and jurisdiction applicability</x:v>
      </x:c>
    </x:row>
    <x:row r="13" ht="38" customHeight="1">
      <x:c r="A13" s="10"/>
      <x:c r="B13" s="10"/>
      <x:c r="C13" s="10"/>
      <x:c r="D13" s="10"/>
      <x:c r="E13" s="10"/>
    </x:row>
    <x:row r="14" ht="38" customHeight="1">
      <x:c r="A14" s="10"/>
      <x:c r="B14" s="10"/>
      <x:c r="C14" s="10"/>
      <x:c r="D14" s="10"/>
      <x:c r="E14" s="10"/>
    </x:row>
    <x:row r="15" ht="38" customHeight="1">
      <x:c r="A15" s="10"/>
      <x:c r="B15" s="10"/>
      <x:c r="C15" s="10"/>
      <x:c r="D15" s="10"/>
      <x:c r="E15" s="10"/>
    </x:row>
    <x:row r="16" ht="38" customHeight="1">
      <x:c r="A16" s="10"/>
      <x:c r="B16" s="10"/>
      <x:c r="C16" s="10"/>
      <x:c r="D16" s="10"/>
      <x:c r="E16" s="10"/>
    </x:row>
    <x:row r="17" ht="38" customHeight="1">
      <x:c r="A17" s="10"/>
      <x:c r="B17" s="10"/>
      <x:c r="C17" s="10"/>
      <x:c r="D17" s="10"/>
      <x:c r="E17" s="10"/>
    </x:row>
    <x:row r="18" ht="38" customHeight="1">
      <x:c r="A18" s="10"/>
      <x:c r="B18" s="10"/>
      <x:c r="C18" s="10"/>
      <x:c r="D18" s="10"/>
      <x:c r="E18" s="10"/>
    </x:row>
    <x:row r="19" ht="38" customHeight="1">
      <x:c r="A19" s="10"/>
      <x:c r="B19" s="10"/>
      <x:c r="C19" s="10"/>
      <x:c r="D19" s="10"/>
      <x:c r="E19" s="10"/>
    </x:row>
    <x:row r="20" ht="38" customHeight="1">
      <x:c r="A20" s="10"/>
      <x:c r="B20" s="10"/>
      <x:c r="C20" s="10"/>
      <x:c r="D20" s="10"/>
      <x:c r="E20" s="10"/>
    </x:row>
    <x:row r="21" ht="38" customHeight="1">
      <x:c r="A21" s="10"/>
      <x:c r="B21" s="10"/>
      <x:c r="C21" s="10"/>
      <x:c r="D21" s="10"/>
      <x:c r="E21" s="10"/>
    </x:row>
    <x:row r="22" ht="38" customHeight="1">
      <x:c r="A22" s="10"/>
      <x:c r="B22" s="10"/>
      <x:c r="C22" s="10"/>
      <x:c r="D22" s="10"/>
      <x:c r="E22" s="10"/>
    </x:row>
    <x:row r="23" ht="38" customHeight="1">
      <x:c r="A23" s="10"/>
      <x:c r="B23" s="10"/>
      <x:c r="C23" s="10"/>
      <x:c r="D23" s="10"/>
      <x:c r="E23" s="10"/>
    </x:row>
    <x:row r="24" ht="38" customHeight="1">
      <x:c r="A24" s="10"/>
      <x:c r="B24" s="10"/>
      <x:c r="C24" s="10"/>
      <x:c r="D24" s="10"/>
      <x:c r="E24" s="10"/>
    </x:row>
    <x:row r="25" ht="38" customHeight="1">
      <x:c r="A25" s="10"/>
      <x:c r="B25" s="10"/>
      <x:c r="C25" s="10"/>
      <x:c r="D25" s="10"/>
      <x:c r="E25" s="10"/>
    </x:row>
    <x:row r="26" ht="38" customHeight="1">
      <x:c r="A26" s="10"/>
      <x:c r="B26" s="10"/>
      <x:c r="C26" s="10"/>
      <x:c r="D26" s="10"/>
      <x:c r="E26" s="10"/>
    </x:row>
    <x:row r="27" ht="38" customHeight="1">
      <x:c r="A27" s="10"/>
      <x:c r="B27" s="10"/>
      <x:c r="C27" s="10"/>
      <x:c r="D27" s="10"/>
      <x:c r="E27" s="10"/>
    </x:row>
    <x:row r="28" ht="38" customHeight="1">
      <x:c r="A28" s="10"/>
      <x:c r="B28" s="10"/>
      <x:c r="C28" s="10"/>
      <x:c r="D28" s="10"/>
      <x:c r="E28" s="10"/>
    </x:row>
    <x:row r="29" ht="38" customHeight="1">
      <x:c r="A29" s="10"/>
      <x:c r="B29" s="10"/>
      <x:c r="C29" s="10"/>
      <x:c r="D29" s="10"/>
      <x:c r="E29" s="10"/>
    </x:row>
    <x:row r="30" ht="38" customHeight="1">
      <x:c r="A30" s="10"/>
      <x:c r="B30" s="10"/>
      <x:c r="C30" s="10"/>
      <x:c r="D30" s="10"/>
      <x:c r="E30" s="10"/>
    </x:row>
  </x:sheetData>
  <x:mergeCells>
    <x:mergeCell ref="A1:E1"/>
    <x:mergeCell ref="A2:E2"/>
  </x:mergeCells>
  <x:pageMargins left="0.7" right="0.7" top="0.75" bottom="0.75" header="0.3" footer="0.3"/>
</x:worksheet>
</file>