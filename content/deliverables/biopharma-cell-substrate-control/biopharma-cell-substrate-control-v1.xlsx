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424cb2bdc54b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4cd6c1b017144bd7"/>
    <x:sheet xmlns:r="http://schemas.openxmlformats.org/officeDocument/2006/relationships" name="Decision Brief" sheetId="2" r:id="Ra6482f15158849a6"/>
    <x:sheet xmlns:r="http://schemas.openxmlformats.org/officeDocument/2006/relationships" name="Lineage &amp; Construct" sheetId="3" r:id="R7134b2e9eaab464f"/>
    <x:sheet xmlns:r="http://schemas.openxmlformats.org/officeDocument/2006/relationships" name="Clone Development" sheetId="4" r:id="Rf39c6a3b20cb482a"/>
    <x:sheet xmlns:r="http://schemas.openxmlformats.org/officeDocument/2006/relationships" name="Bank Hierarchy" sheetId="5" r:id="Rf2adccc75a6b4fc7"/>
    <x:sheet xmlns:r="http://schemas.openxmlformats.org/officeDocument/2006/relationships" name="Bank Manufacture" sheetId="6" r:id="R6e549b5b04e34c02"/>
    <x:sheet xmlns:r="http://schemas.openxmlformats.org/officeDocument/2006/relationships" name="Characterization" sheetId="7" r:id="Rbb1dc04b710a4fc1"/>
    <x:sheet xmlns:r="http://schemas.openxmlformats.org/officeDocument/2006/relationships" name="Stability &amp; Age" sheetId="8" r:id="R5b35c67cf880419b"/>
    <x:sheet xmlns:r="http://schemas.openxmlformats.org/officeDocument/2006/relationships" name="Change Assessment" sheetId="9" r:id="R59fda105e32c4a1e"/>
    <x:sheet xmlns:r="http://schemas.openxmlformats.org/officeDocument/2006/relationships" name="Evidence Register" sheetId="10" r:id="R0de49cd5a21e4928"/>
    <x:sheet xmlns:r="http://schemas.openxmlformats.org/officeDocument/2006/relationships" name="Review &amp; Actions" sheetId="11" r:id="Rb89780dbf61b46e2"/>
    <x:sheet xmlns:r="http://schemas.openxmlformats.org/officeDocument/2006/relationships" name="Sources &amp; Control" sheetId="12" r:id="R0b19a192cbaf45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36174"/>
      <x:name val="Carlito"/>
    </x:font>
    <x:font>
      <x:b/>
      <x:sz val="10"/>
      <x:color rgb="FFFFFFFF"/>
      <x:name val="Carlito"/>
    </x:font>
    <x:font>
      <x:b/>
      <x:sz val="11"/>
      <x:color rgb="FF7B2020"/>
      <x:name val="Carlito"/>
    </x:font>
    <x:font>
      <x:b/>
      <x:sz val="11"/>
      <x:color rgb="FF172033"/>
      <x:name val="Carlito"/>
    </x:font>
    <x:font>
      <x:b/>
      <x:sz val="11"/>
      <x:color rgb="FF7A4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263F"/>
      </x:patternFill>
    </x:fill>
    <x:fill>
      <x:patternFill patternType="solid">
        <x:fgColor rgb="FFEDF5FA"/>
      </x:patternFill>
    </x:fill>
    <x:fill>
      <x:patternFill patternType="solid">
        <x:fgColor rgb="FF1F5A83"/>
      </x:patternFill>
    </x:fill>
    <x:fill>
      <x:patternFill patternType="solid">
        <x:fgColor rgb="FFFBE8E8"/>
      </x:patternFill>
    </x:fill>
    <x:fill>
      <x:patternFill patternType="solid">
        <x:fgColor rgb="FFFFF1D6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3"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eb3cedda64a64" /><Relationship Type="http://schemas.openxmlformats.org/officeDocument/2006/relationships/theme" Target="/xl/theme/theme1.xml" Id="R503ac36044fa462f" /><Relationship Type="http://schemas.openxmlformats.org/officeDocument/2006/relationships/sharedStrings" Target="/xl/sharedStrings.xml" Id="Rcc3838f7c6f14b83" /><Relationship Type="http://schemas.openxmlformats.org/officeDocument/2006/relationships/worksheet" Target="/xl/worksheets/sheet1.xml" Id="R4cd6c1b017144bd7" /><Relationship Type="http://schemas.openxmlformats.org/officeDocument/2006/relationships/worksheet" Target="/xl/worksheets/sheet2.xml" Id="Ra6482f15158849a6" /><Relationship Type="http://schemas.openxmlformats.org/officeDocument/2006/relationships/worksheet" Target="/xl/worksheets/sheet3.xml" Id="R7134b2e9eaab464f" /><Relationship Type="http://schemas.openxmlformats.org/officeDocument/2006/relationships/worksheet" Target="/xl/worksheets/sheet4.xml" Id="Rf39c6a3b20cb482a" /><Relationship Type="http://schemas.openxmlformats.org/officeDocument/2006/relationships/worksheet" Target="/xl/worksheets/sheet5.xml" Id="Rf2adccc75a6b4fc7" /><Relationship Type="http://schemas.openxmlformats.org/officeDocument/2006/relationships/worksheet" Target="/xl/worksheets/sheet6.xml" Id="R6e549b5b04e34c02" /><Relationship Type="http://schemas.openxmlformats.org/officeDocument/2006/relationships/worksheet" Target="/xl/worksheets/sheet7.xml" Id="Rbb1dc04b710a4fc1" /><Relationship Type="http://schemas.openxmlformats.org/officeDocument/2006/relationships/worksheet" Target="/xl/worksheets/sheet8.xml" Id="R5b35c67cf880419b" /><Relationship Type="http://schemas.openxmlformats.org/officeDocument/2006/relationships/worksheet" Target="/xl/worksheets/sheet9.xml" Id="R59fda105e32c4a1e" /><Relationship Type="http://schemas.openxmlformats.org/officeDocument/2006/relationships/worksheet" Target="/xl/worksheets/sheet10.xml" Id="R0de49cd5a21e4928" /><Relationship Type="http://schemas.openxmlformats.org/officeDocument/2006/relationships/worksheet" Target="/xl/worksheets/sheet11.xml" Id="Rb89780dbf61b46e2" /><Relationship Type="http://schemas.openxmlformats.org/officeDocument/2006/relationships/worksheet" Target="/xl/worksheets/sheet12.xml" Id="R0b19a192cbaf45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6" hidden="0" customWidth="1"/>
  </x:cols>
  <x:sheetData>
    <x:row r="1" ht="32" customHeight="1">
      <x:c r="A1" s="3" t="str">
        <x:v>Biopharma Cell Substrate &amp; Bank Lifecycle Evidence Map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Version 1.0.0-review · Blank working file · Under review</x:v>
      </x:c>
      <x:c r="B2" s="6"/>
      <x:c r="C2" s="6"/>
      <x:c r="D2" s="6"/>
      <x:c r="E2" s="6"/>
      <x:c r="F2" s="6"/>
      <x:c r="G2" s="6"/>
      <x:c r="H2" s="6"/>
    </x:row>
    <x:row r="4" ht="31" customHeight="1">
      <x:c r="A4" s="10" t="str">
        <x:v>Decision boundary</x:v>
      </x:c>
      <x:c r="B4" s="10"/>
      <x:c r="C4" s="10"/>
      <x:c r="D4" s="10"/>
      <x:c r="E4" s="10"/>
      <x:c r="F4" s="10"/>
      <x:c r="G4" s="10"/>
      <x:c r="H4" s="10"/>
    </x:row>
    <x:row r="5">
      <x:c r="A5" s="14" t="str">
        <x:v>This workbook structures evidence. It does not approve a host, construct, clone, cell bank, characterization strategy, genetic/phenotypic stability conclusion, production-age limit, comparability, manufacturing use, batch or product release. Bank manufacture completion is not bank release or authorization to use.</x:v>
      </x:c>
      <x:c r="B5" s="14"/>
      <x:c r="C5" s="14"/>
      <x:c r="D5" s="14"/>
      <x:c r="E5" s="14"/>
      <x:c r="F5" s="14"/>
      <x:c r="G5" s="14"/>
      <x:c r="H5" s="14"/>
    </x:row>
    <x:row r="6">
      <x:c r="A6" s="14"/>
      <x:c r="B6" s="14"/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9" ht="31" customHeight="1">
      <x:c r="A9" s="10" t="str">
        <x:v>Step</x:v>
      </x:c>
      <x:c r="B9" s="10" t="str">
        <x:v>Required action</x:v>
      </x:c>
    </x:row>
    <x:row r="10" ht="43" customHeight="1">
      <x:c r="A10" s="16" t="n">
        <x:v>1</x:v>
      </x:c>
      <x:c r="B10" s="16" t="str">
        <x:v>Freeze exact host, construct, clone, bank, process, use, lifecycle stage and authority.</x:v>
      </x:c>
    </x:row>
    <x:row r="11" ht="43" customHeight="1">
      <x:c r="A11" s="16" t="n">
        <x:v>2</x:v>
      </x:c>
      <x:c r="B11" s="16" t="str">
        <x:v>Reconstruct source, culture, manipulation, selection, cloning, adaptation and transfer history.</x:v>
      </x:c>
    </x:row>
    <x:row r="12" ht="43" customHeight="1">
      <x:c r="A12" s="16" t="n">
        <x:v>3</x:v>
      </x:c>
      <x:c r="B12" s="16" t="str">
        <x:v>Link construct evidence to transcript, phenotype, process and product evidence.</x:v>
      </x:c>
    </x:row>
    <x:row r="13" ht="43" customHeight="1">
      <x:c r="A13" s="16" t="n">
        <x:v>4</x:v>
      </x:c>
      <x:c r="B13" s="16" t="str">
        <x:v>Preserve clone-selection context, trade-offs and discarded alternatives—not productivity alone.</x:v>
      </x:c>
    </x:row>
    <x:row r="14" ht="43" customHeight="1">
      <x:c r="A14" s="16" t="n">
        <x:v>5</x:v>
      </x:c>
      <x:c r="B14" s="16" t="str">
        <x:v>Map bank genealogy, manufacture, storage, inventory, shipment, thaw/use, excursions and retirement.</x:v>
      </x:c>
    </x:row>
    <x:row r="15" ht="43" customHeight="1">
      <x:c r="A15" s="16" t="n">
        <x:v>6</x:v>
      </x:c>
      <x:c r="B15" s="16" t="str">
        <x:v>Define each characterization question, material, timing, method capability and limitation.</x:v>
      </x:c>
    </x:row>
    <x:row r="16" ht="43" customHeight="1">
      <x:c r="A16" s="16" t="n">
        <x:v>7</x:v>
      </x:c>
      <x:c r="B16" s="16" t="str">
        <x:v>Assess stability through exact production-age traceability across cell, process and product evidence.</x:v>
      </x:c>
    </x:row>
    <x:row r="17" ht="43" customHeight="1">
      <x:c r="A17" s="16" t="n">
        <x:v>8</x:v>
      </x:c>
      <x:c r="B17" s="16" t="str">
        <x:v>Keep bank release/use, validation, comparability, filing and batch disposition separate.</x:v>
      </x:c>
    </x:row>
    <x:row r="18" ht="43" customHeight="1">
      <x:c r="A18" s="16" t="str">
        <x:v>Analytics</x:v>
      </x:c>
      <x:c r="B18" s="16" t="str">
        <x:v>Do not place confidential cell-line, construct, sequence, bank, batch, product or artifact content in Atlas analytics.</x:v>
      </x:c>
    </x:row>
  </x:sheetData>
  <x:mergeCells>
    <x:mergeCell ref="A1:H1"/>
    <x:mergeCell ref="A2:H2"/>
    <x:mergeCell ref="A4:H4"/>
    <x:mergeCell ref="A5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2" hidden="0" customWidth="1"/>
    <x:col min="4" max="4" width="30" hidden="0" customWidth="1"/>
    <x:col min="5" max="5" width="28" hidden="0" customWidth="1"/>
  </x:cols>
  <x:sheetData>
    <x:row r="1" ht="32" customHeight="1">
      <x:c r="A1" s="3" t="str">
        <x:v>Decision Brief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Freeze one cell-substrate/bank/use decision and read completeness without treating it as approval.</x:v>
      </x:c>
      <x:c r="B2" s="6"/>
      <x:c r="C2" s="6"/>
      <x:c r="D2" s="6"/>
      <x:c r="E2" s="6"/>
      <x:c r="F2" s="6"/>
      <x:c r="G2" s="6"/>
      <x:c r="H2" s="6"/>
    </x:row>
    <x:row r="4" ht="31" customHeight="1">
      <x:c r="A4" s="10" t="str">
        <x:v>Field</x:v>
      </x:c>
      <x:c r="B4" s="10" t="str">
        <x:v>Controlled value</x:v>
      </x:c>
      <x:c r="D4" s="10" t="str">
        <x:v>Completeness / review signal</x:v>
      </x:c>
      <x:c r="E4" s="10" t="str">
        <x:v>Value</x:v>
      </x:c>
    </x:row>
    <x:row r="5">
      <x:c r="A5" s="17" t="str">
        <x:v>Product / modality</x:v>
      </x:c>
      <x:c r="B5" t="str"/>
      <x:c r="D5" s="18" t="str">
        <x:v>Incomplete rows</x:v>
      </x:c>
      <x:c r="E5" s="18" t="n">
        <x:f>COUNTIF('Lineage &amp; Construct'!J5:J20,"Incomplete")+COUNTIF('Clone Development'!J5:J20,"Incomplete")+COUNTIF('Bank Hierarchy'!J5:J20,"Incomplete")+COUNTIF('Bank Manufacture'!J5:J20,"Incomplete")+COUNTIF('Characterization'!J5:J20,"Incomplete")+COUNTIF('Stability &amp; Age'!J5:J20,"Incomplete")+COUNTIF('Change Assessment'!J5:J20,"Incomplete")+COUNTIF('Evidence Register'!J5:J20,"Incomplete")</x:f>
        <x:v>52</x:v>
      </x:c>
    </x:row>
    <x:row r="6">
      <x:c r="A6" s="17" t="str">
        <x:v>Host / construct / clone</x:v>
      </x:c>
      <x:c r="B6" t="str"/>
      <x:c r="D6" s="18" t="str">
        <x:v>Evidence-required rows</x:v>
      </x:c>
      <x:c r="E6" s="18" t="n">
        <x:f>COUNTIF('Lineage &amp; Construct'!J5:J20,"Evidence required")+COUNTIF('Clone Development'!J5:J20,"Evidence required")+COUNTIF('Bank Hierarchy'!J5:J20,"Evidence required")+COUNTIF('Bank Manufacture'!J5:J20,"Evidence required")+COUNTIF('Characterization'!J5:J20,"Evidence required")+COUNTIF('Stability &amp; Age'!J5:J20,"Evidence required")+COUNTIF('Change Assessment'!J5:J20,"Evidence required")+COUNTIF('Evidence Register'!J5:J20,"Evidence required")</x:f>
        <x:v>0</x:v>
      </x:c>
    </x:row>
    <x:row r="7">
      <x:c r="A7" s="17" t="str">
        <x:v>Bank versions</x:v>
      </x:c>
      <x:c r="B7" t="str"/>
      <x:c r="D7" s="18" t="str">
        <x:v>Review-required rows</x:v>
      </x:c>
      <x:c r="E7" s="18" t="n">
        <x:f>COUNTIF('Lineage &amp; Construct'!J5:J20,"Review required")+COUNTIF('Clone Development'!J5:J20,"Review required")+COUNTIF('Bank Hierarchy'!J5:J20,"Review required")+COUNTIF('Bank Manufacture'!J5:J20,"Review required")+COUNTIF('Characterization'!J5:J20,"Review required")+COUNTIF('Stability &amp; Age'!J5:J20,"Review required")+COUNTIF('Change Assessment'!J5:J20,"Review required")+COUNTIF('Evidence Register'!J5:J20,"Review required")</x:f>
        <x:v>0</x:v>
      </x:c>
    </x:row>
    <x:row r="8">
      <x:c r="A8" s="17" t="str">
        <x:v>Process / use</x:v>
      </x:c>
      <x:c r="B8" t="str"/>
      <x:c r="D8" s="18" t="str">
        <x:v>Open actions</x:v>
      </x:c>
      <x:c r="E8" s="18" t="n">
        <x:f>COUNTIF('Review &amp; Actions'!G5:G20,"Open")</x:f>
        <x:v>0</x:v>
      </x:c>
    </x:row>
    <x:row r="9">
      <x:c r="A9" s="17" t="str">
        <x:v>Change</x:v>
      </x:c>
      <x:c r="B9" t="str"/>
      <x:c r="D9" s="18" t="str">
        <x:v>Global status</x:v>
      </x:c>
      <x:c r="E9" s="20" t="str">
        <x:f>IF(E5+E6&gt;0,"Evidence required",IF(E7+E8&gt;0,"Qualified review required","Qualified review required"))</x:f>
        <x:v>Evidence required</x:v>
      </x:c>
    </x:row>
    <x:row r="10">
      <x:c r="A10" s="17" t="str">
        <x:v>Lifecycle / markets</x:v>
      </x:c>
      <x:c r="B10" t="str"/>
    </x:row>
    <x:row r="11">
      <x:c r="A11" s="17" t="str">
        <x:v>Decision owner</x:v>
      </x:c>
      <x:c r="B11" t="str"/>
    </x:row>
    <x:row r="12">
      <x:c r="A12" s="17" t="str">
        <x:v>Decision authority</x:v>
      </x:c>
      <x:c r="B12" t="str"/>
    </x:row>
    <x:row r="13">
      <x:c r="A13" s="17" t="str">
        <x:v>Excluded</x:v>
      </x:c>
      <x:c r="B13" t="str"/>
    </x:row>
    <x:row r="14">
      <x:c r="A14" s="17" t="str">
        <x:v>Workbook version</x:v>
      </x:c>
      <x:c r="B14" t="str">
        <x:v>1.0.0-review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1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Lineage &amp; Construct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Preserve source, manipulation, construct and transfer history; unknown provenance remains visible.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1" customHeight="1">
      <x:c r="A4" s="10" t="str">
        <x:v>ID</x:v>
      </x:c>
      <x:c r="B4" s="10" t="str">
        <x:v>Object</x:v>
      </x:c>
      <x:c r="C4" s="10" t="str">
        <x:v>Scope / version</x:v>
      </x:c>
      <x:c r="D4" s="10" t="str">
        <x:v>Evidence held</x:v>
      </x:c>
      <x:c r="E4" s="10" t="str">
        <x:v>Gap / impact</x:v>
      </x:c>
      <x:c r="F4" s="10" t="str">
        <x:v>Owner</x:v>
      </x:c>
      <x:c r="G4" s="10" t="str">
        <x:v>Evidence ID</x:v>
      </x:c>
      <x:c r="H4" s="10" t="str">
        <x:v>Reviewer role</x:v>
      </x:c>
      <x:c r="I4" s="10" t="str">
        <x:v>Review state</x:v>
      </x:c>
      <x:c r="J4" s="10" t="str">
        <x:v>Status</x:v>
      </x:c>
    </x:row>
    <x:row r="5" ht="64" customHeight="1">
      <x:c r="A5" s="16" t="str">
        <x:v>LC-01</x:v>
      </x:c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>
        <x:f>IF(B5="","Incomplete",IF(G5="","Evidence required",IF(OR(H5="",I5&lt;&gt;"Accepted"),"Review required","Complete")))</x:f>
        <x:v>Incomplete</x:v>
      </x:c>
    </x:row>
    <x:row r="6" ht="64" customHeight="1">
      <x:c r="A6" s="16" t="str">
        <x:v>LC-02</x:v>
      </x:c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>
        <x:f>IF(B6="","Incomplete",IF(G6="","Evidence required",IF(OR(H6="",I6&lt;&gt;"Accepted"),"Review required","Complete")))</x:f>
        <x:v>Incomplete</x:v>
      </x:c>
    </x:row>
    <x:row r="7" ht="64" customHeight="1">
      <x:c r="A7" s="16" t="str">
        <x:v>LC-03</x:v>
      </x:c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>
        <x:f>IF(B7="","Incomplete",IF(G7="","Evidence required",IF(OR(H7="",I7&lt;&gt;"Accepted"),"Review required","Complete")))</x:f>
        <x:v>Incomplete</x:v>
      </x:c>
    </x:row>
    <x:row r="8" ht="64" customHeight="1">
      <x:c r="A8" s="16" t="str">
        <x:v>LC-04</x:v>
      </x:c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>
        <x:f>IF(B8="","Incomplete",IF(G8="","Evidence required",IF(OR(H8="",I8&lt;&gt;"Accepted"),"Review required","Complete")))</x:f>
        <x:v>Incomplete</x:v>
      </x:c>
    </x:row>
    <x:row r="9" ht="64" customHeight="1">
      <x:c r="A9" s="16" t="str">
        <x:v>LC-05</x:v>
      </x:c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>
        <x:f>IF(B9="","Incomplete",IF(G9="","Evidence required",IF(OR(H9="",I9&lt;&gt;"Accepted"),"Review required","Complete")))</x:f>
        <x:v>Incomplete</x:v>
      </x:c>
    </x:row>
    <x:row r="10" ht="64" customHeight="1">
      <x:c r="A10" s="16" t="str">
        <x:v>LC-06</x:v>
      </x:c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>
        <x:f>IF(B10="","Incomplete",IF(G10="","Evidence required",IF(OR(H10="",I10&lt;&gt;"Accepted"),"Review required","Complete")))</x:f>
        <x:v>Incomplete</x:v>
      </x:c>
    </x:row>
  </x:sheetData>
  <x:mergeCells>
    <x:mergeCell ref="A1:J1"/>
    <x:mergeCell ref="A2:J2"/>
  </x:mergeCells>
  <x:conditionalFormatting sqref="J5:J10">
    <x:cfRule type="containsText" dxfId="0" priority="1" operator="containsText" text="Incomplete"/>
    <x:cfRule type="containsText" dxfId="1" priority="2" operator="containsText" text="Evidence required"/>
    <x:cfRule type="containsText" dxfId="2" priority="3" operator="containsText" text="Review required"/>
    <x:cfRule type="containsText" dxfId="3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1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Clone Development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Record selection stages, process context, product evidence and trade-offs—not productivity alone.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1" customHeight="1">
      <x:c r="A4" s="10" t="str">
        <x:v>ID</x:v>
      </x:c>
      <x:c r="B4" s="10" t="str">
        <x:v>Object</x:v>
      </x:c>
      <x:c r="C4" s="10" t="str">
        <x:v>Scope / version</x:v>
      </x:c>
      <x:c r="D4" s="10" t="str">
        <x:v>Evidence held</x:v>
      </x:c>
      <x:c r="E4" s="10" t="str">
        <x:v>Gap / impact</x:v>
      </x:c>
      <x:c r="F4" s="10" t="str">
        <x:v>Owner</x:v>
      </x:c>
      <x:c r="G4" s="10" t="str">
        <x:v>Evidence ID</x:v>
      </x:c>
      <x:c r="H4" s="10" t="str">
        <x:v>Reviewer role</x:v>
      </x:c>
      <x:c r="I4" s="10" t="str">
        <x:v>Review state</x:v>
      </x:c>
      <x:c r="J4" s="10" t="str">
        <x:v>Status</x:v>
      </x:c>
    </x:row>
    <x:row r="5" ht="64" customHeight="1">
      <x:c r="A5" s="16" t="str">
        <x:v>CD-01</x:v>
      </x:c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>
        <x:f>IF(B5="","Incomplete",IF(G5="","Evidence required",IF(OR(H5="",I5&lt;&gt;"Accepted"),"Review required","Complete")))</x:f>
        <x:v>Incomplete</x:v>
      </x:c>
    </x:row>
    <x:row r="6" ht="64" customHeight="1">
      <x:c r="A6" s="16" t="str">
        <x:v>CD-02</x:v>
      </x:c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>
        <x:f>IF(B6="","Incomplete",IF(G6="","Evidence required",IF(OR(H6="",I6&lt;&gt;"Accepted"),"Review required","Complete")))</x:f>
        <x:v>Incomplete</x:v>
      </x:c>
    </x:row>
    <x:row r="7" ht="64" customHeight="1">
      <x:c r="A7" s="16" t="str">
        <x:v>CD-03</x:v>
      </x:c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>
        <x:f>IF(B7="","Incomplete",IF(G7="","Evidence required",IF(OR(H7="",I7&lt;&gt;"Accepted"),"Review required","Complete")))</x:f>
        <x:v>Incomplete</x:v>
      </x:c>
    </x:row>
    <x:row r="8" ht="64" customHeight="1">
      <x:c r="A8" s="16" t="str">
        <x:v>CD-04</x:v>
      </x:c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>
        <x:f>IF(B8="","Incomplete",IF(G8="","Evidence required",IF(OR(H8="",I8&lt;&gt;"Accepted"),"Review required","Complete")))</x:f>
        <x:v>Incomplete</x:v>
      </x:c>
    </x:row>
    <x:row r="9" ht="64" customHeight="1">
      <x:c r="A9" s="16" t="str">
        <x:v>CD-05</x:v>
      </x:c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>
        <x:f>IF(B9="","Incomplete",IF(G9="","Evidence required",IF(OR(H9="",I9&lt;&gt;"Accepted"),"Review required","Complete")))</x:f>
        <x:v>Incomplete</x:v>
      </x:c>
    </x:row>
    <x:row r="10" ht="64" customHeight="1">
      <x:c r="A10" s="16" t="str">
        <x:v>CD-06</x:v>
      </x:c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>
        <x:f>IF(B10="","Incomplete",IF(G10="","Evidence required",IF(OR(H10="",I10&lt;&gt;"Accepted"),"Review required","Complete")))</x:f>
        <x:v>Incomplete</x:v>
      </x:c>
    </x:row>
  </x:sheetData>
  <x:mergeCells>
    <x:mergeCell ref="A1:J1"/>
    <x:mergeCell ref="A2:J2"/>
  </x:mergeCells>
  <x:conditionalFormatting sqref="J5:J10">
    <x:cfRule type="containsText" dxfId="4" priority="1" operator="containsText" text="Incomplete"/>
    <x:cfRule type="containsText" dxfId="5" priority="2" operator="containsText" text="Evidence required"/>
    <x:cfRule type="containsText" dxfId="6" priority="3" operator="containsText" text="Review required"/>
    <x:cfRule type="containsText" dxfId="7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1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Bank Hierarchy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Trace exact parent-child genealogy, inventory, locations, replacement and retirement authority.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1" customHeight="1">
      <x:c r="A4" s="10" t="str">
        <x:v>ID</x:v>
      </x:c>
      <x:c r="B4" s="10" t="str">
        <x:v>Object</x:v>
      </x:c>
      <x:c r="C4" s="10" t="str">
        <x:v>Scope / version</x:v>
      </x:c>
      <x:c r="D4" s="10" t="str">
        <x:v>Evidence held</x:v>
      </x:c>
      <x:c r="E4" s="10" t="str">
        <x:v>Gap / impact</x:v>
      </x:c>
      <x:c r="F4" s="10" t="str">
        <x:v>Owner</x:v>
      </x:c>
      <x:c r="G4" s="10" t="str">
        <x:v>Evidence ID</x:v>
      </x:c>
      <x:c r="H4" s="10" t="str">
        <x:v>Reviewer role</x:v>
      </x:c>
      <x:c r="I4" s="10" t="str">
        <x:v>Review state</x:v>
      </x:c>
      <x:c r="J4" s="10" t="str">
        <x:v>Status</x:v>
      </x:c>
    </x:row>
    <x:row r="5" ht="64" customHeight="1">
      <x:c r="A5" s="16" t="str">
        <x:v>BH-01</x:v>
      </x:c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>
        <x:f>IF(B5="","Incomplete",IF(G5="","Evidence required",IF(OR(H5="",I5&lt;&gt;"Accepted"),"Review required","Complete")))</x:f>
        <x:v>Incomplete</x:v>
      </x:c>
    </x:row>
    <x:row r="6" ht="64" customHeight="1">
      <x:c r="A6" s="16" t="str">
        <x:v>BH-02</x:v>
      </x:c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>
        <x:f>IF(B6="","Incomplete",IF(G6="","Evidence required",IF(OR(H6="",I6&lt;&gt;"Accepted"),"Review required","Complete")))</x:f>
        <x:v>Incomplete</x:v>
      </x:c>
    </x:row>
    <x:row r="7" ht="64" customHeight="1">
      <x:c r="A7" s="16" t="str">
        <x:v>BH-03</x:v>
      </x:c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>
        <x:f>IF(B7="","Incomplete",IF(G7="","Evidence required",IF(OR(H7="",I7&lt;&gt;"Accepted"),"Review required","Complete")))</x:f>
        <x:v>Incomplete</x:v>
      </x:c>
    </x:row>
    <x:row r="8" ht="64" customHeight="1">
      <x:c r="A8" s="16" t="str">
        <x:v>BH-04</x:v>
      </x:c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>
        <x:f>IF(B8="","Incomplete",IF(G8="","Evidence required",IF(OR(H8="",I8&lt;&gt;"Accepted"),"Review required","Complete")))</x:f>
        <x:v>Incomplete</x:v>
      </x:c>
    </x:row>
    <x:row r="9" ht="64" customHeight="1">
      <x:c r="A9" s="16" t="str">
        <x:v>BH-05</x:v>
      </x:c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>
        <x:f>IF(B9="","Incomplete",IF(G9="","Evidence required",IF(OR(H9="",I9&lt;&gt;"Accepted"),"Review required","Complete")))</x:f>
        <x:v>Incomplete</x:v>
      </x:c>
    </x:row>
    <x:row r="10" ht="64" customHeight="1">
      <x:c r="A10" s="16" t="str">
        <x:v>BH-06</x:v>
      </x:c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>
        <x:f>IF(B10="","Incomplete",IF(G10="","Evidence required",IF(OR(H10="",I10&lt;&gt;"Accepted"),"Review required","Complete")))</x:f>
        <x:v>Incomplete</x:v>
      </x:c>
    </x:row>
  </x:sheetData>
  <x:mergeCells>
    <x:mergeCell ref="A1:J1"/>
    <x:mergeCell ref="A2:J2"/>
  </x:mergeCells>
  <x:conditionalFormatting sqref="J5:J10">
    <x:cfRule type="containsText" dxfId="8" priority="1" operator="containsText" text="Incomplete"/>
    <x:cfRule type="containsText" dxfId="9" priority="2" operator="containsText" text="Evidence required"/>
    <x:cfRule type="containsText" dxfId="10" priority="3" operator="containsText" text="Review required"/>
    <x:cfRule type="containsText" dxfId="11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1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Bank Manufacture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Separate manufacture completion from characterization, release, storage and authorized use.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1" customHeight="1">
      <x:c r="A4" s="10" t="str">
        <x:v>ID</x:v>
      </x:c>
      <x:c r="B4" s="10" t="str">
        <x:v>Object</x:v>
      </x:c>
      <x:c r="C4" s="10" t="str">
        <x:v>Scope / version</x:v>
      </x:c>
      <x:c r="D4" s="10" t="str">
        <x:v>Evidence held</x:v>
      </x:c>
      <x:c r="E4" s="10" t="str">
        <x:v>Gap / impact</x:v>
      </x:c>
      <x:c r="F4" s="10" t="str">
        <x:v>Owner</x:v>
      </x:c>
      <x:c r="G4" s="10" t="str">
        <x:v>Evidence ID</x:v>
      </x:c>
      <x:c r="H4" s="10" t="str">
        <x:v>Reviewer role</x:v>
      </x:c>
      <x:c r="I4" s="10" t="str">
        <x:v>Review state</x:v>
      </x:c>
      <x:c r="J4" s="10" t="str">
        <x:v>Status</x:v>
      </x:c>
    </x:row>
    <x:row r="5" ht="64" customHeight="1">
      <x:c r="A5" s="16" t="str">
        <x:v>BM-01</x:v>
      </x:c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>
        <x:f>IF(B5="","Incomplete",IF(G5="","Evidence required",IF(OR(H5="",I5&lt;&gt;"Accepted"),"Review required","Complete")))</x:f>
        <x:v>Incomplete</x:v>
      </x:c>
    </x:row>
    <x:row r="6" ht="64" customHeight="1">
      <x:c r="A6" s="16" t="str">
        <x:v>BM-02</x:v>
      </x:c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>
        <x:f>IF(B6="","Incomplete",IF(G6="","Evidence required",IF(OR(H6="",I6&lt;&gt;"Accepted"),"Review required","Complete")))</x:f>
        <x:v>Incomplete</x:v>
      </x:c>
    </x:row>
    <x:row r="7" ht="64" customHeight="1">
      <x:c r="A7" s="16" t="str">
        <x:v>BM-03</x:v>
      </x:c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>
        <x:f>IF(B7="","Incomplete",IF(G7="","Evidence required",IF(OR(H7="",I7&lt;&gt;"Accepted"),"Review required","Complete")))</x:f>
        <x:v>Incomplete</x:v>
      </x:c>
    </x:row>
    <x:row r="8" ht="64" customHeight="1">
      <x:c r="A8" s="16" t="str">
        <x:v>BM-04</x:v>
      </x:c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>
        <x:f>IF(B8="","Incomplete",IF(G8="","Evidence required",IF(OR(H8="",I8&lt;&gt;"Accepted"),"Review required","Complete")))</x:f>
        <x:v>Incomplete</x:v>
      </x:c>
    </x:row>
    <x:row r="9" ht="64" customHeight="1">
      <x:c r="A9" s="16" t="str">
        <x:v>BM-05</x:v>
      </x:c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>
        <x:f>IF(B9="","Incomplete",IF(G9="","Evidence required",IF(OR(H9="",I9&lt;&gt;"Accepted"),"Review required","Complete")))</x:f>
        <x:v>Incomplete</x:v>
      </x:c>
    </x:row>
    <x:row r="10" ht="64" customHeight="1">
      <x:c r="A10" s="16" t="str">
        <x:v>BM-06</x:v>
      </x:c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>
        <x:f>IF(B10="","Incomplete",IF(G10="","Evidence required",IF(OR(H10="",I10&lt;&gt;"Accepted"),"Review required","Complete")))</x:f>
        <x:v>Incomplete</x:v>
      </x:c>
    </x:row>
  </x:sheetData>
  <x:mergeCells>
    <x:mergeCell ref="A1:J1"/>
    <x:mergeCell ref="A2:J2"/>
  </x:mergeCells>
  <x:conditionalFormatting sqref="J5:J10">
    <x:cfRule type="containsText" dxfId="12" priority="1" operator="containsText" text="Incomplete"/>
    <x:cfRule type="containsText" dxfId="13" priority="2" operator="containsText" text="Evidence required"/>
    <x:cfRule type="containsText" dxfId="14" priority="3" operator="containsText" text="Review required"/>
    <x:cfRule type="containsText" dxfId="15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1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Characterization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State each question, material, timing, method capability, limitation, contradiction and reviewer.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1" customHeight="1">
      <x:c r="A4" s="10" t="str">
        <x:v>ID</x:v>
      </x:c>
      <x:c r="B4" s="10" t="str">
        <x:v>Object</x:v>
      </x:c>
      <x:c r="C4" s="10" t="str">
        <x:v>Scope / version</x:v>
      </x:c>
      <x:c r="D4" s="10" t="str">
        <x:v>Evidence held</x:v>
      </x:c>
      <x:c r="E4" s="10" t="str">
        <x:v>Gap / impact</x:v>
      </x:c>
      <x:c r="F4" s="10" t="str">
        <x:v>Owner</x:v>
      </x:c>
      <x:c r="G4" s="10" t="str">
        <x:v>Evidence ID</x:v>
      </x:c>
      <x:c r="H4" s="10" t="str">
        <x:v>Reviewer role</x:v>
      </x:c>
      <x:c r="I4" s="10" t="str">
        <x:v>Review state</x:v>
      </x:c>
      <x:c r="J4" s="10" t="str">
        <x:v>Status</x:v>
      </x:c>
    </x:row>
    <x:row r="5" ht="64" customHeight="1">
      <x:c r="A5" s="16" t="str">
        <x:v>CH-01</x:v>
      </x:c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>
        <x:f>IF(B5="","Incomplete",IF(G5="","Evidence required",IF(OR(H5="",I5&lt;&gt;"Accepted"),"Review required","Complete")))</x:f>
        <x:v>Incomplete</x:v>
      </x:c>
    </x:row>
    <x:row r="6" ht="64" customHeight="1">
      <x:c r="A6" s="16" t="str">
        <x:v>CH-02</x:v>
      </x:c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>
        <x:f>IF(B6="","Incomplete",IF(G6="","Evidence required",IF(OR(H6="",I6&lt;&gt;"Accepted"),"Review required","Complete")))</x:f>
        <x:v>Incomplete</x:v>
      </x:c>
    </x:row>
    <x:row r="7" ht="64" customHeight="1">
      <x:c r="A7" s="16" t="str">
        <x:v>CH-03</x:v>
      </x:c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>
        <x:f>IF(B7="","Incomplete",IF(G7="","Evidence required",IF(OR(H7="",I7&lt;&gt;"Accepted"),"Review required","Complete")))</x:f>
        <x:v>Incomplete</x:v>
      </x:c>
    </x:row>
    <x:row r="8" ht="64" customHeight="1">
      <x:c r="A8" s="16" t="str">
        <x:v>CH-04</x:v>
      </x:c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>
        <x:f>IF(B8="","Incomplete",IF(G8="","Evidence required",IF(OR(H8="",I8&lt;&gt;"Accepted"),"Review required","Complete")))</x:f>
        <x:v>Incomplete</x:v>
      </x:c>
    </x:row>
    <x:row r="9" ht="64" customHeight="1">
      <x:c r="A9" s="16" t="str">
        <x:v>CH-05</x:v>
      </x:c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>
        <x:f>IF(B9="","Incomplete",IF(G9="","Evidence required",IF(OR(H9="",I9&lt;&gt;"Accepted"),"Review required","Complete")))</x:f>
        <x:v>Incomplete</x:v>
      </x:c>
    </x:row>
    <x:row r="10" ht="64" customHeight="1">
      <x:c r="A10" s="16" t="str">
        <x:v>CH-06</x:v>
      </x:c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>
        <x:f>IF(B10="","Incomplete",IF(G10="","Evidence required",IF(OR(H10="",I10&lt;&gt;"Accepted"),"Review required","Complete")))</x:f>
        <x:v>Incomplete</x:v>
      </x:c>
    </x:row>
  </x:sheetData>
  <x:mergeCells>
    <x:mergeCell ref="A1:J1"/>
    <x:mergeCell ref="A2:J2"/>
  </x:mergeCells>
  <x:conditionalFormatting sqref="J5:J10">
    <x:cfRule type="containsText" dxfId="16" priority="1" operator="containsText" text="Incomplete"/>
    <x:cfRule type="containsText" dxfId="17" priority="2" operator="containsText" text="Evidence required"/>
    <x:cfRule type="containsText" dxfId="18" priority="3" operator="containsText" text="Review required"/>
    <x:cfRule type="containsText" dxfId="19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1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Stability &amp; Age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Integrate exact culture-age traceability with construct, phenotype, process and product evidence.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1" customHeight="1">
      <x:c r="A4" s="10" t="str">
        <x:v>ID</x:v>
      </x:c>
      <x:c r="B4" s="10" t="str">
        <x:v>Object</x:v>
      </x:c>
      <x:c r="C4" s="10" t="str">
        <x:v>Scope / version</x:v>
      </x:c>
      <x:c r="D4" s="10" t="str">
        <x:v>Evidence held</x:v>
      </x:c>
      <x:c r="E4" s="10" t="str">
        <x:v>Gap / impact</x:v>
      </x:c>
      <x:c r="F4" s="10" t="str">
        <x:v>Owner</x:v>
      </x:c>
      <x:c r="G4" s="10" t="str">
        <x:v>Evidence ID</x:v>
      </x:c>
      <x:c r="H4" s="10" t="str">
        <x:v>Reviewer role</x:v>
      </x:c>
      <x:c r="I4" s="10" t="str">
        <x:v>Review state</x:v>
      </x:c>
      <x:c r="J4" s="10" t="str">
        <x:v>Status</x:v>
      </x:c>
    </x:row>
    <x:row r="5" ht="64" customHeight="1">
      <x:c r="A5" s="16" t="str">
        <x:v>SA-01</x:v>
      </x:c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>
        <x:f>IF(B5="","Incomplete",IF(G5="","Evidence required",IF(OR(H5="",I5&lt;&gt;"Accepted"),"Review required","Complete")))</x:f>
        <x:v>Incomplete</x:v>
      </x:c>
    </x:row>
    <x:row r="6" ht="64" customHeight="1">
      <x:c r="A6" s="16" t="str">
        <x:v>SA-02</x:v>
      </x:c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>
        <x:f>IF(B6="","Incomplete",IF(G6="","Evidence required",IF(OR(H6="",I6&lt;&gt;"Accepted"),"Review required","Complete")))</x:f>
        <x:v>Incomplete</x:v>
      </x:c>
    </x:row>
    <x:row r="7" ht="64" customHeight="1">
      <x:c r="A7" s="16" t="str">
        <x:v>SA-03</x:v>
      </x:c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>
        <x:f>IF(B7="","Incomplete",IF(G7="","Evidence required",IF(OR(H7="",I7&lt;&gt;"Accepted"),"Review required","Complete")))</x:f>
        <x:v>Incomplete</x:v>
      </x:c>
    </x:row>
    <x:row r="8" ht="64" customHeight="1">
      <x:c r="A8" s="16" t="str">
        <x:v>SA-04</x:v>
      </x:c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>
        <x:f>IF(B8="","Incomplete",IF(G8="","Evidence required",IF(OR(H8="",I8&lt;&gt;"Accepted"),"Review required","Complete")))</x:f>
        <x:v>Incomplete</x:v>
      </x:c>
    </x:row>
    <x:row r="9" ht="64" customHeight="1">
      <x:c r="A9" s="16" t="str">
        <x:v>SA-05</x:v>
      </x:c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>
        <x:f>IF(B9="","Incomplete",IF(G9="","Evidence required",IF(OR(H9="",I9&lt;&gt;"Accepted"),"Review required","Complete")))</x:f>
        <x:v>Incomplete</x:v>
      </x:c>
    </x:row>
    <x:row r="10" ht="64" customHeight="1">
      <x:c r="A10" s="16" t="str">
        <x:v>SA-06</x:v>
      </x:c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>
        <x:f>IF(B10="","Incomplete",IF(G10="","Evidence required",IF(OR(H10="",I10&lt;&gt;"Accepted"),"Review required","Complete")))</x:f>
        <x:v>Incomplete</x:v>
      </x:c>
    </x:row>
  </x:sheetData>
  <x:mergeCells>
    <x:mergeCell ref="A1:J1"/>
    <x:mergeCell ref="A2:J2"/>
  </x:mergeCells>
  <x:conditionalFormatting sqref="J5:J10">
    <x:cfRule type="containsText" dxfId="20" priority="1" operator="containsText" text="Incomplete"/>
    <x:cfRule type="containsText" dxfId="21" priority="2" operator="containsText" text="Evidence required"/>
    <x:cfRule type="containsText" dxfId="22" priority="3" operator="containsText" text="Review required"/>
    <x:cfRule type="containsText" dxfId="23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1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Change Assessment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Translate the exact bank/site/use difference into validation, comparability, filing and monitoring decisions.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1" customHeight="1">
      <x:c r="A4" s="10" t="str">
        <x:v>ID</x:v>
      </x:c>
      <x:c r="B4" s="10" t="str">
        <x:v>Object</x:v>
      </x:c>
      <x:c r="C4" s="10" t="str">
        <x:v>Scope / version</x:v>
      </x:c>
      <x:c r="D4" s="10" t="str">
        <x:v>Evidence held</x:v>
      </x:c>
      <x:c r="E4" s="10" t="str">
        <x:v>Gap / impact</x:v>
      </x:c>
      <x:c r="F4" s="10" t="str">
        <x:v>Owner</x:v>
      </x:c>
      <x:c r="G4" s="10" t="str">
        <x:v>Evidence ID</x:v>
      </x:c>
      <x:c r="H4" s="10" t="str">
        <x:v>Reviewer role</x:v>
      </x:c>
      <x:c r="I4" s="10" t="str">
        <x:v>Review state</x:v>
      </x:c>
      <x:c r="J4" s="10" t="str">
        <x:v>Status</x:v>
      </x:c>
    </x:row>
    <x:row r="5" ht="64" customHeight="1">
      <x:c r="A5" s="16" t="str">
        <x:v>CA-01</x:v>
      </x:c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>
        <x:f>IF(B5="","Incomplete",IF(G5="","Evidence required",IF(OR(H5="",I5&lt;&gt;"Accepted"),"Review required","Complete")))</x:f>
        <x:v>Incomplete</x:v>
      </x:c>
    </x:row>
    <x:row r="6" ht="64" customHeight="1">
      <x:c r="A6" s="16" t="str">
        <x:v>CA-02</x:v>
      </x:c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>
        <x:f>IF(B6="","Incomplete",IF(G6="","Evidence required",IF(OR(H6="",I6&lt;&gt;"Accepted"),"Review required","Complete")))</x:f>
        <x:v>Incomplete</x:v>
      </x:c>
    </x:row>
    <x:row r="7" ht="64" customHeight="1">
      <x:c r="A7" s="16" t="str">
        <x:v>CA-03</x:v>
      </x:c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>
        <x:f>IF(B7="","Incomplete",IF(G7="","Evidence required",IF(OR(H7="",I7&lt;&gt;"Accepted"),"Review required","Complete")))</x:f>
        <x:v>Incomplete</x:v>
      </x:c>
    </x:row>
    <x:row r="8" ht="64" customHeight="1">
      <x:c r="A8" s="16" t="str">
        <x:v>CA-04</x:v>
      </x:c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>
        <x:f>IF(B8="","Incomplete",IF(G8="","Evidence required",IF(OR(H8="",I8&lt;&gt;"Accepted"),"Review required","Complete")))</x:f>
        <x:v>Incomplete</x:v>
      </x:c>
    </x:row>
    <x:row r="9" ht="64" customHeight="1">
      <x:c r="A9" s="16" t="str">
        <x:v>CA-05</x:v>
      </x:c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>
        <x:f>IF(B9="","Incomplete",IF(G9="","Evidence required",IF(OR(H9="",I9&lt;&gt;"Accepted"),"Review required","Complete")))</x:f>
        <x:v>Incomplete</x:v>
      </x:c>
    </x:row>
    <x:row r="10" ht="64" customHeight="1">
      <x:c r="A10" s="16" t="str">
        <x:v>CA-06</x:v>
      </x:c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>
        <x:f>IF(B10="","Incomplete",IF(G10="","Evidence required",IF(OR(H10="",I10&lt;&gt;"Accepted"),"Review required","Complete")))</x:f>
        <x:v>Incomplete</x:v>
      </x:c>
    </x:row>
  </x:sheetData>
  <x:mergeCells>
    <x:mergeCell ref="A1:J1"/>
    <x:mergeCell ref="A2:J2"/>
  </x:mergeCells>
  <x:conditionalFormatting sqref="J5:J10">
    <x:cfRule type="containsText" dxfId="24" priority="1" operator="containsText" text="Incomplete"/>
    <x:cfRule type="containsText" dxfId="25" priority="2" operator="containsText" text="Evidence required"/>
    <x:cfRule type="containsText" dxfId="26" priority="3" operator="containsText" text="Review required"/>
    <x:cfRule type="containsText" dxfId="27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1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Evidence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Every evidence object needs a controlled ID, version, locator, limitation, owner and review state.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1" customHeight="1">
      <x:c r="A4" s="10" t="str">
        <x:v>ID</x:v>
      </x:c>
      <x:c r="B4" s="10" t="str">
        <x:v>Object</x:v>
      </x:c>
      <x:c r="C4" s="10" t="str">
        <x:v>Scope / version</x:v>
      </x:c>
      <x:c r="D4" s="10" t="str">
        <x:v>Evidence held</x:v>
      </x:c>
      <x:c r="E4" s="10" t="str">
        <x:v>Gap / impact</x:v>
      </x:c>
      <x:c r="F4" s="10" t="str">
        <x:v>Owner</x:v>
      </x:c>
      <x:c r="G4" s="10" t="str">
        <x:v>Evidence ID</x:v>
      </x:c>
      <x:c r="H4" s="10" t="str">
        <x:v>Reviewer role</x:v>
      </x:c>
      <x:c r="I4" s="10" t="str">
        <x:v>Review state</x:v>
      </x:c>
      <x:c r="J4" s="10" t="str">
        <x:v>Status</x:v>
      </x:c>
    </x:row>
    <x:row r="5" ht="64" customHeight="1">
      <x:c r="A5" s="16" t="str">
        <x:v>EV-01</x:v>
      </x:c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>
        <x:f>IF(B5="","Incomplete",IF(G5="","Evidence required",IF(OR(H5="",I5&lt;&gt;"Accepted"),"Review required","Complete")))</x:f>
        <x:v>Incomplete</x:v>
      </x:c>
    </x:row>
    <x:row r="6" ht="64" customHeight="1">
      <x:c r="A6" s="16" t="str">
        <x:v>EV-02</x:v>
      </x:c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>
        <x:f>IF(B6="","Incomplete",IF(G6="","Evidence required",IF(OR(H6="",I6&lt;&gt;"Accepted"),"Review required","Complete")))</x:f>
        <x:v>Incomplete</x:v>
      </x:c>
    </x:row>
    <x:row r="7" ht="64" customHeight="1">
      <x:c r="A7" s="16" t="str">
        <x:v>EV-03</x:v>
      </x:c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>
        <x:f>IF(B7="","Incomplete",IF(G7="","Evidence required",IF(OR(H7="",I7&lt;&gt;"Accepted"),"Review required","Complete")))</x:f>
        <x:v>Incomplete</x:v>
      </x:c>
    </x:row>
    <x:row r="8" ht="64" customHeight="1">
      <x:c r="A8" s="16" t="str">
        <x:v>EV-04</x:v>
      </x:c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>
        <x:f>IF(B8="","Incomplete",IF(G8="","Evidence required",IF(OR(H8="",I8&lt;&gt;"Accepted"),"Review required","Complete")))</x:f>
        <x:v>Incomplete</x:v>
      </x:c>
    </x:row>
    <x:row r="9" ht="64" customHeight="1">
      <x:c r="A9" s="16" t="str">
        <x:v>EV-05</x:v>
      </x:c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>
        <x:f>IF(B9="","Incomplete",IF(G9="","Evidence required",IF(OR(H9="",I9&lt;&gt;"Accepted"),"Review required","Complete")))</x:f>
        <x:v>Incomplete</x:v>
      </x:c>
    </x:row>
    <x:row r="10" ht="64" customHeight="1">
      <x:c r="A10" s="16" t="str">
        <x:v>EV-06</x:v>
      </x:c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>
        <x:f>IF(B10="","Incomplete",IF(G10="","Evidence required",IF(OR(H10="",I10&lt;&gt;"Accepted"),"Review required","Complete")))</x:f>
        <x:v>Incomplete</x:v>
      </x:c>
    </x:row>
    <x:row r="11" ht="64" customHeight="1">
      <x:c r="A11" s="16" t="str">
        <x:v>EV-07</x:v>
      </x:c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>
        <x:f>IF(B11="","Incomplete",IF(G11="","Evidence required",IF(OR(H11="",I11&lt;&gt;"Accepted"),"Review required","Complete")))</x:f>
        <x:v>Incomplete</x:v>
      </x:c>
    </x:row>
    <x:row r="12" ht="64" customHeight="1">
      <x:c r="A12" s="16" t="str">
        <x:v>EV-08</x:v>
      </x:c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>
        <x:f>IF(B12="","Incomplete",IF(G12="","Evidence required",IF(OR(H12="",I12&lt;&gt;"Accepted"),"Review required","Complete")))</x:f>
        <x:v>Incomplete</x:v>
      </x:c>
    </x:row>
    <x:row r="13" ht="64" customHeight="1">
      <x:c r="A13" s="16" t="str">
        <x:v>EV-09</x:v>
      </x:c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>
        <x:f>IF(B13="","Incomplete",IF(G13="","Evidence required",IF(OR(H13="",I13&lt;&gt;"Accepted"),"Review required","Complete")))</x:f>
        <x:v>Incomplete</x:v>
      </x:c>
    </x:row>
    <x:row r="14" ht="64" customHeight="1">
      <x:c r="A14" s="16" t="str">
        <x:v>EV-10</x:v>
      </x:c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>
        <x:f>IF(B14="","Incomplete",IF(G14="","Evidence required",IF(OR(H14="",I14&lt;&gt;"Accepted"),"Review required","Complete")))</x:f>
        <x:v>Incomplete</x:v>
      </x:c>
    </x:row>
  </x:sheetData>
  <x:mergeCells>
    <x:mergeCell ref="A1:J1"/>
    <x:mergeCell ref="A2:J2"/>
  </x:mergeCells>
  <x:conditionalFormatting sqref="J5:J14">
    <x:cfRule type="containsText" dxfId="28" priority="1" operator="containsText" text="Incomplete"/>
    <x:cfRule type="containsText" dxfId="29" priority="2" operator="containsText" text="Evidence required"/>
    <x:cfRule type="containsText" dxfId="30" priority="3" operator="containsText" text="Review required"/>
    <x:cfRule type="containsText" dxfId="31" priority="4" operator="containsText" text="Complete"/>
  </x:conditionalFormatting>
  <x:dataValidations count="1">
    <x:dataValidation type="list" sqref="I5:I14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3" hidden="0" customWidth="1"/>
    <x:col min="3" max="3" width="35" hidden="0" customWidth="1"/>
    <x:col min="4" max="4" width="38" hidden="0" customWidth="1"/>
    <x:col min="5" max="5" width="14" hidden="0" customWidth="1"/>
    <x:col min="6" max="6" width="26" hidden="0" customWidth="1"/>
    <x:col min="7" max="7" width="18" hidden="0" customWidth="1"/>
    <x:col min="8" max="8" width="48" hidden="0" customWidth="1"/>
  </x:cols>
  <x:sheetData>
    <x:row r="1" ht="32" customHeight="1">
      <x:c r="A1" s="3" t="str">
        <x:v>Review &amp; Actions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An action closes only with controlled evidence and an authorized decision.</x:v>
      </x:c>
      <x:c r="B2" s="6"/>
      <x:c r="C2" s="6"/>
      <x:c r="D2" s="6"/>
      <x:c r="E2" s="6"/>
      <x:c r="F2" s="6"/>
      <x:c r="G2" s="6"/>
      <x:c r="H2" s="6"/>
    </x:row>
    <x:row r="4" ht="31" customHeight="1">
      <x:c r="A4" s="10" t="str">
        <x:v>Action ID</x:v>
      </x:c>
      <x:c r="B4" s="10" t="str">
        <x:v>Action / decision</x:v>
      </x:c>
      <x:c r="C4" s="10" t="str">
        <x:v>Linked IDs</x:v>
      </x:c>
      <x:c r="D4" s="10" t="str">
        <x:v>Owner / reviewer</x:v>
      </x:c>
      <x:c r="E4" s="10" t="str">
        <x:v>Risk</x:v>
      </x:c>
      <x:c r="F4" s="10" t="str">
        <x:v>Due gate</x:v>
      </x:c>
      <x:c r="G4" s="10" t="str">
        <x:v>Status</x:v>
      </x:c>
      <x:c r="H4" s="10" t="str">
        <x:v>Closure evidence / acceptance</x:v>
      </x:c>
    </x:row>
    <x:row r="5" ht="61" customHeight="1">
      <x:c r="A5" s="16" t="str">
        <x:v>ACT-01</x:v>
      </x:c>
      <x:c r="B5" s="16" t="str"/>
      <x:c r="C5" s="16" t="str"/>
      <x:c r="D5" s="16" t="str"/>
      <x:c r="E5" s="16" t="str"/>
      <x:c r="F5" s="16" t="str"/>
      <x:c r="G5" s="16" t="str">
        <x:v>Not started</x:v>
      </x:c>
      <x:c r="H5" s="16" t="str"/>
    </x:row>
    <x:row r="6" ht="61" customHeight="1">
      <x:c r="A6" s="16" t="str">
        <x:v>ACT-02</x:v>
      </x:c>
      <x:c r="B6" s="16" t="str"/>
      <x:c r="C6" s="16" t="str"/>
      <x:c r="D6" s="16" t="str"/>
      <x:c r="E6" s="16" t="str"/>
      <x:c r="F6" s="16" t="str"/>
      <x:c r="G6" s="16" t="str">
        <x:v>Not started</x:v>
      </x:c>
      <x:c r="H6" s="16" t="str"/>
    </x:row>
    <x:row r="7" ht="61" customHeight="1">
      <x:c r="A7" s="16" t="str">
        <x:v>ACT-03</x:v>
      </x:c>
      <x:c r="B7" s="16" t="str"/>
      <x:c r="C7" s="16" t="str"/>
      <x:c r="D7" s="16" t="str"/>
      <x:c r="E7" s="16" t="str"/>
      <x:c r="F7" s="16" t="str"/>
      <x:c r="G7" s="16" t="str">
        <x:v>Not started</x:v>
      </x:c>
      <x:c r="H7" s="16" t="str"/>
    </x:row>
    <x:row r="8" ht="61" customHeight="1">
      <x:c r="A8" s="16" t="str">
        <x:v>ACT-04</x:v>
      </x:c>
      <x:c r="B8" s="16" t="str"/>
      <x:c r="C8" s="16" t="str"/>
      <x:c r="D8" s="16" t="str"/>
      <x:c r="E8" s="16" t="str"/>
      <x:c r="F8" s="16" t="str"/>
      <x:c r="G8" s="16" t="str">
        <x:v>Not started</x:v>
      </x:c>
      <x:c r="H8" s="16" t="str"/>
    </x:row>
    <x:row r="9" ht="61" customHeight="1">
      <x:c r="A9" s="16" t="str">
        <x:v>ACT-05</x:v>
      </x:c>
      <x:c r="B9" s="16" t="str"/>
      <x:c r="C9" s="16" t="str"/>
      <x:c r="D9" s="16" t="str"/>
      <x:c r="E9" s="16" t="str"/>
      <x:c r="F9" s="16" t="str"/>
      <x:c r="G9" s="16" t="str">
        <x:v>Not started</x:v>
      </x:c>
      <x:c r="H9" s="16" t="str"/>
    </x:row>
  </x:sheetData>
  <x:mergeCells>
    <x:mergeCell ref="A1:H1"/>
    <x:mergeCell ref="A2:H2"/>
  </x:mergeCells>
  <x:conditionalFormatting sqref="G5:G9">
    <x:cfRule type="containsText" dxfId="32" priority="1" operator="containsText" text="Open"/>
  </x:conditionalFormatting>
  <x:dataValidations count="2">
    <x:dataValidation type="list" sqref="E5:E9">
      <x:formula1>"Low,Medium,High,Critical"</x:formula1>
    </x:dataValidation>
    <x:dataValidation type="list" sqref="G5:G9">
      <x:formula1>"Not started,Open,Closed,Deferred"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48" hidden="0" customWidth="1"/>
    <x:col min="4" max="4" width="18" hidden="0" customWidth="1"/>
    <x:col min="5" max="5" width="60" hidden="0" customWidth="1"/>
    <x:col min="6" max="6" width="62" hidden="0" customWidth="1"/>
  </x:cols>
  <x:sheetData>
    <x:row r="1" ht="32" customHeight="1">
      <x:c r="A1" s="3" t="str">
        <x:v>Sources &amp; Control</x:v>
      </x:c>
      <x:c r="B1" s="3"/>
      <x:c r="C1" s="3"/>
      <x:c r="D1" s="3"/>
      <x:c r="E1" s="3"/>
      <x:c r="F1" s="3"/>
    </x:row>
    <x:row r="2" ht="30" customHeight="1">
      <x:c r="A2" s="6" t="str">
        <x:v>Official-source locators, applicability, limitations and review record for this under-review package.</x:v>
      </x:c>
      <x:c r="B2" s="6"/>
      <x:c r="C2" s="6"/>
      <x:c r="D2" s="6"/>
      <x:c r="E2" s="6"/>
      <x:c r="F2" s="6"/>
    </x:row>
    <x:row r="4" ht="31" customHeight="1">
      <x:c r="A4" s="10" t="str">
        <x:v>Source ID</x:v>
      </x:c>
      <x:c r="B4" s="10" t="str">
        <x:v>Publisher</x:v>
      </x:c>
      <x:c r="C4" s="10" t="str">
        <x:v>Title</x:v>
      </x:c>
      <x:c r="D4" s="10" t="str">
        <x:v>Edition</x:v>
      </x:c>
      <x:c r="E4" s="10" t="str">
        <x:v>Official URL</x:v>
      </x:c>
      <x:c r="F4" s="10" t="str">
        <x:v>Applicability and limitations</x:v>
      </x:c>
    </x:row>
    <x:row r="5" ht="51" customHeight="1">
      <x:c r="A5" s="16" t="str">
        <x:v>ICH-Q5D</x:v>
      </x:c>
      <x:c r="B5" s="16" t="str">
        <x:v>ICH</x:v>
      </x:c>
      <x:c r="C5" s="16" t="str">
        <x:v>Derivation and Characterisation of Cell Substrates Q5D</x:v>
      </x:c>
      <x:c r="D5" s="16" t="str">
        <x:v>Step 4</x:v>
      </x:c>
      <x:c r="E5" s="16" t="str">
        <x:v>https://database.ich.org/sites/default/files/Q5D_Guideline.pdf</x:v>
      </x:c>
      <x:c r="F5" s="16" t="str">
        <x:v>No universal characterization panel, bank hierarchy, production-age limit, passage limit or acceptance criterion.</x:v>
      </x:c>
    </x:row>
    <x:row r="6" ht="51" customHeight="1">
      <x:c r="A6" s="16" t="str">
        <x:v>ICH-Q5B</x:v>
      </x:c>
      <x:c r="B6" s="16" t="str">
        <x:v>ICH</x:v>
      </x:c>
      <x:c r="C6" s="16" t="str">
        <x:v>Analysis of the Expression Construct in Cells Used for Production of r-DNA Derived Protein Products Q5B</x:v>
      </x:c>
      <x:c r="D6" s="16" t="str">
        <x:v>Step 4</x:v>
      </x:c>
      <x:c r="E6" s="16" t="str">
        <x:v>https://database.ich.org/sites/default/files/Q5B_Guideline.pdf</x:v>
      </x:c>
      <x:c r="F6" s="16" t="str">
        <x:v>Construct analysis is one evidence layer; it does not establish all cell, protein or product attributes.</x:v>
      </x:c>
    </x:row>
    <x:row r="7" ht="51" customHeight="1">
      <x:c r="A7" s="16" t="str">
        <x:v>ICH-Q5A-R2</x:v>
      </x:c>
      <x:c r="B7" s="16" t="str">
        <x:v>ICH</x:v>
      </x:c>
      <x:c r="C7" s="16" t="str">
        <x:v>Viral Safety Evaluation of Biotechnology Products Q5A(R2)</x:v>
      </x:c>
      <x:c r="D7" s="16" t="str">
        <x:v>Step 4</x:v>
      </x:c>
      <x:c r="E7" s="16" t="str">
        <x:v>https://database.ich.org/sites/default/files/ICH_Q5A%28R2%29_Guideline_2023_1101.pdf</x:v>
      </x:c>
      <x:c r="F7" s="16" t="str">
        <x:v>Apply within product/cell-substrate scope; no single-result viral-safety conclusion.</x:v>
      </x:c>
    </x:row>
    <x:row r="8" ht="51" customHeight="1">
      <x:c r="A8" s="16" t="str">
        <x:v>WHO-TRS-978-ANNEX3</x:v>
      </x:c>
      <x:c r="B8" s="16" t="str">
        <x:v>WHO</x:v>
      </x:c>
      <x:c r="C8" s="16" t="str">
        <x:v>Evaluation of animal cell cultures and characterization of cell banks</x:v>
      </x:c>
      <x:c r="D8" s="16" t="str">
        <x:v>TRS 978 Annex 3</x:v>
      </x:c>
      <x:c r="E8" s="16" t="str">
        <x:v>https://www.who.int/publications/m/item/animal-cell-culture-trs-no-978-annex3</x:v>
      </x:c>
      <x:c r="F8" s="16" t="str">
        <x:v>Confirm cell type, product and national applicability; no universal tests or limits.</x:v>
      </x:c>
    </x:row>
    <x:row r="9" ht="51" customHeight="1">
      <x:c r="A9" s="16" t="str">
        <x:v>ICH-Q5E</x:v>
      </x:c>
      <x:c r="B9" s="16" t="str">
        <x:v>ICH</x:v>
      </x:c>
      <x:c r="C9" s="16" t="str">
        <x:v>Comparability of Biotechnological/Biological Products Q5E</x:v>
      </x:c>
      <x:c r="D9" s="16" t="str">
        <x:v>Step 4</x:v>
      </x:c>
      <x:c r="E9" s="16" t="str">
        <x:v>https://database.ich.org/sites/default/files/Q5E%20Guideline.pdf</x:v>
      </x:c>
      <x:c r="F9" s="16" t="str">
        <x:v>Identity or release conformance is not a complete product-comparability conclusion.</x:v>
      </x:c>
    </x:row>
    <x:row r="10" ht="51" customHeight="1">
      <x:c r="A10" s="16" t="str">
        <x:v>ICH-Q6B</x:v>
      </x:c>
      <x:c r="B10" s="16" t="str">
        <x:v>ICH</x:v>
      </x:c>
      <x:c r="C10" s="16" t="str">
        <x:v>Specifications for Biotechnological/Biological Products Q6B</x:v>
      </x:c>
      <x:c r="D10" s="16" t="str">
        <x:v>Step 4</x:v>
      </x:c>
      <x:c r="E10" s="16" t="str">
        <x:v>https://database.ich.org/sites/default/files/Q6B_Guideline.pdf</x:v>
      </x:c>
      <x:c r="F10" s="16" t="str">
        <x:v>Specifications are a selected subset and do not replace characterization.</x:v>
      </x:c>
    </x:row>
    <x:row r="11" ht="51" customHeight="1">
      <x:c r="A11" s="16" t="str">
        <x:v>ICH-Q9-R1</x:v>
      </x:c>
      <x:c r="B11" s="16" t="str">
        <x:v>ICH</x:v>
      </x:c>
      <x:c r="C11" s="16" t="str">
        <x:v>Quality Risk Management Q9(R1)</x:v>
      </x:c>
      <x:c r="D11" s="16" t="str">
        <x:v>Step 4</x:v>
      </x:c>
      <x:c r="E11" s="16" t="str">
        <x:v>https://database.ich.org/sites/default/files/ICH_Q9-R1_Guideline_Step4_2022_1219.pdf</x:v>
      </x:c>
      <x:c r="F11" s="16" t="str">
        <x:v>Risk ranking does not create missing evidence or authorization.</x:v>
      </x:c>
    </x:row>
    <x:row r="12" ht="51" customHeight="1">
      <x:c r="A12" s="16" t="str">
        <x:v>ICH-Q10</x:v>
      </x:c>
      <x:c r="B12" s="16" t="str">
        <x:v>ICH</x:v>
      </x:c>
      <x:c r="C12" s="16" t="str">
        <x:v>Pharmaceutical Quality System Q10</x:v>
      </x:c>
      <x:c r="D12" s="16" t="str">
        <x:v>Step 4</x:v>
      </x:c>
      <x:c r="E12" s="16" t="str">
        <x:v>https://database.ich.org/sites/default/files/Q10_Guideline.pdf</x:v>
      </x:c>
      <x:c r="F12" s="16" t="str">
        <x:v>PQS/change governance does not release a bank or approve product comparability.</x:v>
      </x:c>
    </x:row>
    <x:row r="13" ht="51" customHeight="1">
      <x:c r="A13" s="16"/>
      <x:c r="B13" s="16"/>
      <x:c r="C13" s="16"/>
      <x:c r="D13" s="16"/>
      <x:c r="E13" s="16"/>
      <x:c r="F13" s="16"/>
    </x:row>
    <x:row r="14" ht="51" customHeight="1">
      <x:c r="A14" s="16"/>
      <x:c r="B14" s="16"/>
      <x:c r="C14" s="16"/>
      <x:c r="D14" s="16"/>
      <x:c r="E14" s="16"/>
      <x:c r="F14" s="16"/>
    </x:row>
    <x:row r="15" ht="51" customHeight="1">
      <x:c r="A15" s="21" t="str">
        <x:v>Control field</x:v>
      </x:c>
      <x:c r="B15" s="21" t="str">
        <x:v>Value</x:v>
      </x:c>
      <x:c r="C15" s="16"/>
      <x:c r="D15" s="16"/>
      <x:c r="E15" s="16"/>
      <x:c r="F15" s="16"/>
    </x:row>
    <x:row r="16" ht="51" customHeight="1">
      <x:c r="A16" s="16" t="str">
        <x:v>Content version</x:v>
      </x:c>
      <x:c r="B16" s="16" t="str">
        <x:v>1.0.0-review</x:v>
      </x:c>
      <x:c r="C16" s="16"/>
      <x:c r="D16" s="16"/>
      <x:c r="E16" s="16"/>
      <x:c r="F16" s="16"/>
    </x:row>
    <x:row r="17" ht="51" customHeight="1">
      <x:c r="A17" s="16" t="str">
        <x:v>Review status</x:v>
      </x:c>
      <x:c r="B17" s="16" t="str">
        <x:v>under-review</x:v>
      </x:c>
      <x:c r="C17" s="16"/>
      <x:c r="D17" s="16"/>
      <x:c r="E17" s="16"/>
      <x:c r="F17" s="16"/>
    </x:row>
    <x:row r="18" ht="51" customHeight="1">
      <x:c r="A18" s="16" t="str">
        <x:v>Reviewed by role</x:v>
      </x:c>
      <x:c r="B18" s="16" t="str">
        <x:v>Not yet recorded</x:v>
      </x:c>
      <x:c r="C18" s="16"/>
      <x:c r="D18" s="16"/>
      <x:c r="E18" s="16"/>
      <x:c r="F18" s="16"/>
    </x:row>
    <x:row r="19" ht="51" customHeight="1">
      <x:c r="A19" s="16" t="str">
        <x:v>Last reviewed</x:v>
      </x:c>
      <x:c r="B19" s="16" t="str">
        <x:v>Not yet recorded</x:v>
      </x:c>
      <x:c r="C19" s="16"/>
      <x:c r="D19" s="16"/>
      <x:c r="E19" s="16"/>
      <x:c r="F19" s="16"/>
    </x:row>
    <x:row r="20" ht="51" customHeight="1">
      <x:c r="A20" s="16" t="str">
        <x:v>Review due</x:v>
      </x:c>
      <x:c r="B20" s="16" t="str">
        <x:v>Before controlled use or after cell-substrate/process/source change</x:v>
      </x:c>
      <x:c r="C20" s="16"/>
      <x:c r="D20" s="16"/>
      <x:c r="E20" s="16"/>
      <x:c r="F20" s="16"/>
    </x:row>
    <x:row r="21" ht="51" customHeight="1">
      <x:c r="A21" s="16" t="str">
        <x:v>Decision boundary</x:v>
      </x:c>
      <x:c r="B21" s="16" t="str">
        <x:v>Workbook completeness is not bank release, authorized use, comparability, regulatory or batch approval.</x:v>
      </x:c>
      <x:c r="C21" s="16"/>
      <x:c r="D21" s="16"/>
      <x:c r="E21" s="16"/>
      <x:c r="F21" s="16"/>
    </x:row>
    <x:row r="22" ht="51" customHeight="1">
      <x:c r="A22" s="16" t="str">
        <x:v>Critical limitation</x:v>
      </x:c>
      <x:c r="B22" s="16" t="str">
        <x:v>An intact coding sequence does not by itself establish cell-substrate stability or unchanged product quality.</x:v>
      </x:c>
      <x:c r="C22" s="16"/>
      <x:c r="D22" s="16"/>
      <x:c r="E22" s="16"/>
      <x:c r="F22" s="16"/>
    </x:row>
    <x:row r="23" ht="51" customHeight="1">
      <x:c r="A23" s="16" t="str">
        <x:v>Critical limitation</x:v>
      </x:c>
      <x:c r="B23" s="16" t="str">
        <x:v>Bank manufacture completion is not bank release or authorization to use.</x:v>
      </x:c>
      <x:c r="C23" s="16"/>
      <x:c r="D23" s="16"/>
      <x:c r="E23" s="16"/>
      <x:c r="F23" s="16"/>
    </x:row>
  </x:sheetData>
  <x:mergeCells>
    <x:mergeCell ref="A1:F1"/>
    <x:mergeCell ref="A2:F2"/>
  </x:mergeCells>
  <x:pageMargins left="0.7" right="0.7" top="0.75" bottom="0.75" header="0.3" footer="0.3"/>
</x:worksheet>
</file>