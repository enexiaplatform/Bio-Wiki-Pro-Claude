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e50f4eaef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40d5998efeab4451"/>
    <x:sheet xmlns:r="http://schemas.openxmlformats.org/officeDocument/2006/relationships" name="Decision Brief" sheetId="2" r:id="R48c6aeafab0946d9"/>
    <x:sheet xmlns:r="http://schemas.openxmlformats.org/officeDocument/2006/relationships" name="Lineage &amp; Construct" sheetId="3" r:id="Rd296e31d1b2b40aa"/>
    <x:sheet xmlns:r="http://schemas.openxmlformats.org/officeDocument/2006/relationships" name="Clone Development" sheetId="4" r:id="R69cdfea3adb34f79"/>
    <x:sheet xmlns:r="http://schemas.openxmlformats.org/officeDocument/2006/relationships" name="Bank Hierarchy" sheetId="5" r:id="R667a54cfaa0b420e"/>
    <x:sheet xmlns:r="http://schemas.openxmlformats.org/officeDocument/2006/relationships" name="Bank Manufacture" sheetId="6" r:id="R4b3577d03b7c4363"/>
    <x:sheet xmlns:r="http://schemas.openxmlformats.org/officeDocument/2006/relationships" name="Characterization" sheetId="7" r:id="Ree07f6133c384d2f"/>
    <x:sheet xmlns:r="http://schemas.openxmlformats.org/officeDocument/2006/relationships" name="Stability &amp; Age" sheetId="8" r:id="R96a20cef503844e6"/>
    <x:sheet xmlns:r="http://schemas.openxmlformats.org/officeDocument/2006/relationships" name="Change Assessment" sheetId="9" r:id="R6665d4c1bf2b4d1d"/>
    <x:sheet xmlns:r="http://schemas.openxmlformats.org/officeDocument/2006/relationships" name="Evidence Register" sheetId="10" r:id="R8e5f774093db4c8e"/>
    <x:sheet xmlns:r="http://schemas.openxmlformats.org/officeDocument/2006/relationships" name="Review &amp; Actions" sheetId="11" r:id="R52d9baf57af34a33"/>
    <x:sheet xmlns:r="http://schemas.openxmlformats.org/officeDocument/2006/relationships" name="Sources &amp; Control" sheetId="12" r:id="Rf7c827d35f2e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36174"/>
      <x:name val="Carlito"/>
    </x:font>
    <x:font>
      <x:b/>
      <x:sz val="10"/>
      <x:color rgb="FFFFFFFF"/>
      <x:name val="Carlito"/>
    </x:font>
    <x:font>
      <x:b/>
      <x:sz val="11"/>
      <x:color rgb="FF7B2020"/>
      <x:name val="Carlito"/>
    </x:font>
    <x:font>
      <x:b/>
      <x:sz val="11"/>
      <x:color rgb="FF172033"/>
      <x:name val="Carlito"/>
    </x:font>
    <x:font>
      <x:b/>
      <x:sz val="11"/>
      <x:color rgb="FF7A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263F"/>
      </x:patternFill>
    </x:fill>
    <x:fill>
      <x:patternFill patternType="solid">
        <x:fgColor rgb="FFEDF5FA"/>
      </x:patternFill>
    </x:fill>
    <x:fill>
      <x:patternFill patternType="solid">
        <x:fgColor rgb="FF1F5A83"/>
      </x:patternFill>
    </x:fill>
    <x:fill>
      <x:patternFill patternType="solid">
        <x:fgColor rgb="FFFBE8E8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3"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9c73d3907421c" /><Relationship Type="http://schemas.openxmlformats.org/officeDocument/2006/relationships/theme" Target="/xl/theme/theme1.xml" Id="Rbf9b31a67d474657" /><Relationship Type="http://schemas.openxmlformats.org/officeDocument/2006/relationships/sharedStrings" Target="/xl/sharedStrings.xml" Id="R8324c5d1f3874187" /><Relationship Type="http://schemas.openxmlformats.org/officeDocument/2006/relationships/worksheet" Target="/xl/worksheets/sheet1.xml" Id="R40d5998efeab4451" /><Relationship Type="http://schemas.openxmlformats.org/officeDocument/2006/relationships/worksheet" Target="/xl/worksheets/sheet2.xml" Id="R48c6aeafab0946d9" /><Relationship Type="http://schemas.openxmlformats.org/officeDocument/2006/relationships/worksheet" Target="/xl/worksheets/sheet3.xml" Id="Rd296e31d1b2b40aa" /><Relationship Type="http://schemas.openxmlformats.org/officeDocument/2006/relationships/worksheet" Target="/xl/worksheets/sheet4.xml" Id="R69cdfea3adb34f79" /><Relationship Type="http://schemas.openxmlformats.org/officeDocument/2006/relationships/worksheet" Target="/xl/worksheets/sheet5.xml" Id="R667a54cfaa0b420e" /><Relationship Type="http://schemas.openxmlformats.org/officeDocument/2006/relationships/worksheet" Target="/xl/worksheets/sheet6.xml" Id="R4b3577d03b7c4363" /><Relationship Type="http://schemas.openxmlformats.org/officeDocument/2006/relationships/worksheet" Target="/xl/worksheets/sheet7.xml" Id="Ree07f6133c384d2f" /><Relationship Type="http://schemas.openxmlformats.org/officeDocument/2006/relationships/worksheet" Target="/xl/worksheets/sheet8.xml" Id="R96a20cef503844e6" /><Relationship Type="http://schemas.openxmlformats.org/officeDocument/2006/relationships/worksheet" Target="/xl/worksheets/sheet9.xml" Id="R6665d4c1bf2b4d1d" /><Relationship Type="http://schemas.openxmlformats.org/officeDocument/2006/relationships/worksheet" Target="/xl/worksheets/sheet10.xml" Id="R8e5f774093db4c8e" /><Relationship Type="http://schemas.openxmlformats.org/officeDocument/2006/relationships/worksheet" Target="/xl/worksheets/sheet11.xml" Id="R52d9baf57af34a33" /><Relationship Type="http://schemas.openxmlformats.org/officeDocument/2006/relationships/worksheet" Target="/xl/worksheets/sheet12.xml" Id="Rf7c827d35f2e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6" hidden="0" customWidth="1"/>
  </x:cols>
  <x:sheetData>
    <x:row r="1" ht="32" customHeight="1">
      <x:c r="A1" s="3" t="str">
        <x:v>Biopharma Cell Substrate &amp; Bank Lifecycle Evidence Map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Version 1.0.0-review · Fictional completed example · Under review</x:v>
      </x:c>
      <x:c r="B2" s="6"/>
      <x:c r="C2" s="6"/>
      <x:c r="D2" s="6"/>
      <x:c r="E2" s="6"/>
      <x:c r="F2" s="6"/>
      <x:c r="G2" s="6"/>
      <x:c r="H2" s="6"/>
    </x:row>
    <x:row r="4" ht="31" customHeight="1">
      <x:c r="A4" s="10" t="str">
        <x:v>Decision boundary</x:v>
      </x:c>
      <x:c r="B4" s="10"/>
      <x:c r="C4" s="10"/>
      <x:c r="D4" s="10"/>
      <x:c r="E4" s="10"/>
      <x:c r="F4" s="10"/>
      <x:c r="G4" s="10"/>
      <x:c r="H4" s="10"/>
    </x:row>
    <x:row r="5">
      <x:c r="A5" s="14" t="str">
        <x:v>This workbook structures evidence. It does not approve a host, construct, clone, cell bank, characterization strategy, genetic/phenotypic stability conclusion, production-age limit, comparability, manufacturing use, batch or product release. Bank manufacture completion is not bank release or authorization to use.</x:v>
      </x:c>
      <x:c r="B5" s="14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9" ht="31" customHeight="1">
      <x:c r="A9" s="10" t="str">
        <x:v>Step</x:v>
      </x:c>
      <x:c r="B9" s="10" t="str">
        <x:v>Required action</x:v>
      </x:c>
    </x:row>
    <x:row r="10" ht="43" customHeight="1">
      <x:c r="A10" s="16" t="n">
        <x:v>1</x:v>
      </x:c>
      <x:c r="B10" s="16" t="str">
        <x:v>Freeze exact host, construct, clone, bank, process, use, lifecycle stage and authority.</x:v>
      </x:c>
    </x:row>
    <x:row r="11" ht="43" customHeight="1">
      <x:c r="A11" s="16" t="n">
        <x:v>2</x:v>
      </x:c>
      <x:c r="B11" s="16" t="str">
        <x:v>Reconstruct source, culture, manipulation, selection, cloning, adaptation and transfer history.</x:v>
      </x:c>
    </x:row>
    <x:row r="12" ht="43" customHeight="1">
      <x:c r="A12" s="16" t="n">
        <x:v>3</x:v>
      </x:c>
      <x:c r="B12" s="16" t="str">
        <x:v>Link construct evidence to transcript, phenotype, process and product evidence.</x:v>
      </x:c>
    </x:row>
    <x:row r="13" ht="43" customHeight="1">
      <x:c r="A13" s="16" t="n">
        <x:v>4</x:v>
      </x:c>
      <x:c r="B13" s="16" t="str">
        <x:v>Preserve clone-selection context, trade-offs and discarded alternatives—not productivity alone.</x:v>
      </x:c>
    </x:row>
    <x:row r="14" ht="43" customHeight="1">
      <x:c r="A14" s="16" t="n">
        <x:v>5</x:v>
      </x:c>
      <x:c r="B14" s="16" t="str">
        <x:v>Map bank genealogy, manufacture, storage, inventory, shipment, thaw/use, excursions and retirement.</x:v>
      </x:c>
    </x:row>
    <x:row r="15" ht="43" customHeight="1">
      <x:c r="A15" s="16" t="n">
        <x:v>6</x:v>
      </x:c>
      <x:c r="B15" s="16" t="str">
        <x:v>Define each characterization question, material, timing, method capability and limitation.</x:v>
      </x:c>
    </x:row>
    <x:row r="16" ht="43" customHeight="1">
      <x:c r="A16" s="16" t="n">
        <x:v>7</x:v>
      </x:c>
      <x:c r="B16" s="16" t="str">
        <x:v>Assess stability through exact production-age traceability across cell, process and product evidence.</x:v>
      </x:c>
    </x:row>
    <x:row r="17" ht="43" customHeight="1">
      <x:c r="A17" s="16" t="n">
        <x:v>8</x:v>
      </x:c>
      <x:c r="B17" s="16" t="str">
        <x:v>Keep bank release/use, validation, comparability, filing and batch disposition separate.</x:v>
      </x:c>
    </x:row>
    <x:row r="18" ht="43" customHeight="1">
      <x:c r="A18" s="16" t="str">
        <x:v>Analytics</x:v>
      </x:c>
      <x:c r="B18" s="16" t="str">
        <x:v>Do not place confidential cell-line, construct, sequence, bank, batch, product or artifact content in Atlas analytics.</x:v>
      </x:c>
    </x:row>
  </x:sheetData>
  <x:mergeCells>
    <x:mergeCell ref="A1:H1"/>
    <x:mergeCell ref="A2:H2"/>
    <x:mergeCell ref="A4:H4"/>
    <x:mergeCell ref="A5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2" hidden="0" customWidth="1"/>
    <x:col min="4" max="4" width="30" hidden="0" customWidth="1"/>
    <x:col min="5" max="5" width="28" hidden="0" customWidth="1"/>
  </x:cols>
  <x:sheetData>
    <x:row r="1" ht="32" customHeight="1">
      <x:c r="A1" s="3" t="str">
        <x:v>Decision Brief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Freeze one cell-substrate/bank/use decision and read completeness without treating it as approval.</x:v>
      </x:c>
      <x:c r="B2" s="6"/>
      <x:c r="C2" s="6"/>
      <x:c r="D2" s="6"/>
      <x:c r="E2" s="6"/>
      <x:c r="F2" s="6"/>
      <x:c r="G2" s="6"/>
      <x:c r="H2" s="6"/>
    </x:row>
    <x:row r="4" ht="31" customHeight="1">
      <x:c r="A4" s="10" t="str">
        <x:v>Field</x:v>
      </x:c>
      <x:c r="B4" s="10" t="str">
        <x:v>Controlled value</x:v>
      </x:c>
      <x:c r="D4" s="10" t="str">
        <x:v>Completeness / review signal</x:v>
      </x:c>
      <x:c r="E4" s="10" t="str">
        <x:v>Value</x:v>
      </x:c>
    </x:row>
    <x:row r="5">
      <x:c r="A5" s="17" t="str">
        <x:v>Product / modality</x:v>
      </x:c>
      <x:c r="B5" t="str">
        <x:v>Fictional CHO monoclonal-antibody drug substance</x:v>
      </x:c>
      <x:c r="D5" s="18" t="str">
        <x:v>Incomplete rows</x:v>
      </x:c>
      <x:c r="E5" s="18" t="n">
        <x:f>COUNTIF('Lineage &amp; Construct'!J5:J20,"Incomplete")+COUNTIF('Clone Development'!J5:J20,"Incomplete")+COUNTIF('Bank Hierarchy'!J5:J20,"Incomplete")+COUNTIF('Bank Manufacture'!J5:J20,"Incomplete")+COUNTIF('Characterization'!J5:J20,"Incomplete")+COUNTIF('Stability &amp; Age'!J5:J20,"Incomplete")+COUNTIF('Change Assessment'!J5:J20,"Incomplete")+COUNTIF('Evidence Register'!J5:J20,"Incomplete")</x:f>
        <x:v>0</x:v>
      </x:c>
    </x:row>
    <x:row r="6">
      <x:c r="A6" s="17" t="str">
        <x:v>Host / construct / clone</x:v>
      </x:c>
      <x:c r="B6" t="str">
        <x:v>Fictional CHO host; EC-F01; clone CL-F01</x:v>
      </x:c>
      <x:c r="D6" s="18" t="str">
        <x:v>Evidence-required rows</x:v>
      </x:c>
      <x:c r="E6" s="18" t="n">
        <x:f>COUNTIF('Lineage &amp; Construct'!J5:J20,"Evidence required")+COUNTIF('Clone Development'!J5:J20,"Evidence required")+COUNTIF('Bank Hierarchy'!J5:J20,"Evidence required")+COUNTIF('Bank Manufacture'!J5:J20,"Evidence required")+COUNTIF('Characterization'!J5:J20,"Evidence required")+COUNTIF('Stability &amp; Age'!J5:J20,"Evidence required")+COUNTIF('Change Assessment'!J5:J20,"Evidence required")+COUNTIF('Evidence Register'!J5:J20,"Evidence required")</x:f>
        <x:v>0</x:v>
      </x:c>
    </x:row>
    <x:row r="7">
      <x:c r="A7" s="17" t="str">
        <x:v>Bank versions</x:v>
      </x:c>
      <x:c r="B7" t="str">
        <x:v>MCB-F01; current WCB-F01; replacement WCB-F02</x:v>
      </x:c>
      <x:c r="D7" s="18" t="str">
        <x:v>Review-required rows</x:v>
      </x:c>
      <x:c r="E7" s="18" t="n">
        <x:f>COUNTIF('Lineage &amp; Construct'!J5:J20,"Review required")+COUNTIF('Clone Development'!J5:J20,"Review required")+COUNTIF('Bank Hierarchy'!J5:J20,"Review required")+COUNTIF('Bank Manufacture'!J5:J20,"Review required")+COUNTIF('Characterization'!J5:J20,"Review required")+COUNTIF('Stability &amp; Age'!J5:J20,"Review required")+COUNTIF('Change Assessment'!J5:J20,"Review required")+COUNTIF('Evidence Register'!J5:J20,"Review required")</x:f>
        <x:v>52</x:v>
      </x:c>
    </x:row>
    <x:row r="8">
      <x:c r="A8" s="17" t="str">
        <x:v>Process / use</x:v>
      </x:c>
      <x:c r="B8" t="str">
        <x:v>Replacement WCB for existing DS process</x:v>
      </x:c>
      <x:c r="D8" s="18" t="str">
        <x:v>Open actions</x:v>
      </x:c>
      <x:c r="E8" s="18" t="n">
        <x:f>COUNTIF('Review &amp; Actions'!G5:G20,"Open")</x:f>
        <x:v>5</x:v>
      </x:c>
    </x:row>
    <x:row r="9">
      <x:c r="A9" s="17" t="str">
        <x:v>Change</x:v>
      </x:c>
      <x:c r="B9" t="str">
        <x:v>New WCB manufacture suite plus replacement-bank transition</x:v>
      </x:c>
      <x:c r="D9" s="18" t="str">
        <x:v>Global status</x:v>
      </x:c>
      <x:c r="E9" s="20" t="str">
        <x:f>IF(E5+E6&gt;0,"Evidence required",IF(E7+E8&gt;0,"Qualified review required","Qualified review required"))</x:f>
        <x:v>Qualified review required</x:v>
      </x:c>
    </x:row>
    <x:row r="10">
      <x:c r="A10" s="17" t="str">
        <x:v>Lifecycle / markets</x:v>
      </x:c>
      <x:c r="B10" t="str">
        <x:v>Commercial-change assessment; markets unconfirmed</x:v>
      </x:c>
    </x:row>
    <x:row r="11">
      <x:c r="A11" s="17" t="str">
        <x:v>Decision owner</x:v>
      </x:c>
      <x:c r="B11" t="str">
        <x:v>Change owner and Quality Unit (fictional roles)</x:v>
      </x:c>
    </x:row>
    <x:row r="12">
      <x:c r="A12" s="17" t="str">
        <x:v>Decision authority</x:v>
      </x:c>
      <x:c r="B12" t="str">
        <x:v>Authorized site bank/change governance (not Atlas)</x:v>
      </x:c>
    </x:row>
    <x:row r="13">
      <x:c r="A13" s="17" t="str">
        <x:v>Excluded</x:v>
      </x:c>
      <x:c r="B13" t="str">
        <x:v>Test panel, limits, criteria, filing and manufacturing authorization</x:v>
      </x:c>
    </x:row>
    <x:row r="14">
      <x:c r="A14" s="17" t="str">
        <x:v>Workbook version</x:v>
      </x:c>
      <x:c r="B14" t="str">
        <x:v>1.0.0-review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Lineage &amp; Construct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Preserve source, manipulation, construct and transfer history; unknown provenance remains visible.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LC-01</x:v>
      </x:c>
      <x:c r="B5" s="16" t="str">
        <x:v>Host and parental line</x:v>
      </x:c>
      <x:c r="C5" s="16" t="str">
        <x:v>Fictional CHO parental source; controlled identifier</x:v>
      </x:c>
      <x:c r="D5" s="16" t="str">
        <x:v>Source record and current MCB genealogy indexed</x:v>
      </x:c>
      <x:c r="E5" s="16" t="str">
        <x:v>Early source/manipulation detail is incomplete</x:v>
      </x:c>
      <x:c r="F5" s="16" t="str">
        <x:v>Cell-line development</x:v>
      </x:c>
      <x:c r="G5" s="16" t="str">
        <x:v>EV-01</x:v>
      </x:c>
      <x:c r="H5" s="16" t="str">
        <x:v>Cell-line development + quality</x:v>
      </x:c>
      <x:c r="I5" s="16" t="str">
        <x:v>Pending review</x:v>
      </x:c>
      <x:c r="J5" s="16" t="str">
        <x:f>IF(B5="","Incomplete",IF(G5="","Evidence required",IF(OR(H5="",I5&lt;&gt;"Accepted"),"Review required","Complete")))</x:f>
        <x:v>Review required</x:v>
      </x:c>
    </x:row>
    <x:row r="6" ht="64" customHeight="1">
      <x:c r="A6" s="16" t="str">
        <x:v>LC-02</x:v>
      </x:c>
      <x:c r="B6" s="16" t="str">
        <x:v>Culture and manipulation history</x:v>
      </x:c>
      <x:c r="C6" s="16" t="str">
        <x:v>Derivation through clone CL-F01</x:v>
      </x:c>
      <x:c r="D6" s="16" t="str">
        <x:v>Controlled summary of adaptation, transfection and selection</x:v>
      </x:c>
      <x:c r="E6" s="16" t="str">
        <x:v>One early manipulation interval lacks primary records</x:v>
      </x:c>
      <x:c r="F6" s="16" t="str">
        <x:v>Cell-line development</x:v>
      </x:c>
      <x:c r="G6" s="16" t="str">
        <x:v>EV-01</x:v>
      </x:c>
      <x:c r="H6" s="16" t="str">
        <x:v>Cell-line development + molecular characterization</x:v>
      </x:c>
      <x:c r="I6" s="16" t="str">
        <x:v>Pending review</x:v>
      </x:c>
      <x:c r="J6" s="16" t="str">
        <x:f>IF(B6="","Incomplete",IF(G6="","Evidence required",IF(OR(H6="",I6&lt;&gt;"Accepted"),"Review required","Complete")))</x:f>
        <x:v>Review required</x:v>
      </x:c>
    </x:row>
    <x:row r="7" ht="64" customHeight="1">
      <x:c r="A7" s="16" t="str">
        <x:v>LC-03</x:v>
      </x:c>
      <x:c r="B7" s="16" t="str">
        <x:v>Expression construct</x:v>
      </x:c>
      <x:c r="C7" s="16" t="str">
        <x:v>Fictional construct EC-F01 Rev A</x:v>
      </x:c>
      <x:c r="D7" s="16" t="str">
        <x:v>Construct map/version and coding-sequence record indexed</x:v>
      </x:c>
      <x:c r="E7" s="16" t="str">
        <x:v>Physical-state, copy/integration and method-detection boundaries open</x:v>
      </x:c>
      <x:c r="F7" s="16" t="str">
        <x:v>Molecular characterization</x:v>
      </x:c>
      <x:c r="G7" s="16" t="str">
        <x:v>EV-02</x:v>
      </x:c>
      <x:c r="H7" s="16" t="str">
        <x:v>Molecular characterization + product quality</x:v>
      </x:c>
      <x:c r="I7" s="16" t="str">
        <x:v>Pending review</x:v>
      </x:c>
      <x:c r="J7" s="16" t="str">
        <x:f>IF(B7="","Incomplete",IF(G7="","Evidence required",IF(OR(H7="",I7&lt;&gt;"Accepted"),"Review required","Complete")))</x:f>
        <x:v>Review required</x:v>
      </x:c>
    </x:row>
    <x:row r="8" ht="64" customHeight="1">
      <x:c r="A8" s="16" t="str">
        <x:v>LC-04</x:v>
      </x:c>
      <x:c r="B8" s="16" t="str">
        <x:v>Expression evidence</x:v>
      </x:c>
      <x:c r="C8" s="16" t="str">
        <x:v>Current process and bank scope</x:v>
      </x:c>
      <x:c r="D8" s="16" t="str">
        <x:v>Historical transcript/protein characterization references indexed</x:v>
      </x:c>
      <x:c r="E8" s="16" t="str">
        <x:v>Representativeness for replacement WCB and current process open</x:v>
      </x:c>
      <x:c r="F8" s="16" t="str">
        <x:v>Product quality</x:v>
      </x:c>
      <x:c r="G8" s="16" t="str">
        <x:v>EV-02</x:v>
      </x:c>
      <x:c r="H8" s="16" t="str">
        <x:v>Molecular + analytical/product quality</x:v>
      </x:c>
      <x:c r="I8" s="16" t="str">
        <x:v>Pending review</x:v>
      </x:c>
      <x:c r="J8" s="16" t="str">
        <x:f>IF(B8="","Incomplete",IF(G8="","Evidence required",IF(OR(H8="",I8&lt;&gt;"Accepted"),"Review required","Complete")))</x:f>
        <x:v>Review required</x:v>
      </x:c>
    </x:row>
    <x:row r="9" ht="64" customHeight="1">
      <x:c r="A9" s="16" t="str">
        <x:v>LC-05</x:v>
      </x:c>
      <x:c r="B9" s="16" t="str">
        <x:v>Lineage transfers</x:v>
      </x:c>
      <x:c r="C9" s="16" t="str">
        <x:v>Parental source to MCB-F01 to WCB-F02</x:v>
      </x:c>
      <x:c r="D9" s="16" t="str">
        <x:v>Genealogy and custody records indexed</x:v>
      </x:c>
      <x:c r="E9" s="16" t="str">
        <x:v>Receiving suite/site differences require reconciliation</x:v>
      </x:c>
      <x:c r="F9" s="16" t="str">
        <x:v>Bank custodian</x:v>
      </x:c>
      <x:c r="G9" s="16" t="str">
        <x:v>EV-03</x:v>
      </x:c>
      <x:c r="H9" s="16" t="str">
        <x:v>Cell-bank operations + quality</x:v>
      </x:c>
      <x:c r="I9" s="16" t="str">
        <x:v>Pending review</x:v>
      </x:c>
      <x:c r="J9" s="16" t="str">
        <x:f>IF(B9="","Incomplete",IF(G9="","Evidence required",IF(OR(H9="",I9&lt;&gt;"Accepted"),"Review required","Complete")))</x:f>
        <x:v>Review required</x:v>
      </x:c>
    </x:row>
    <x:row r="10" ht="64" customHeight="1">
      <x:c r="A10" s="16" t="str">
        <x:v>LC-06</x:v>
      </x:c>
      <x:c r="B10" s="16" t="str">
        <x:v>Unknown-history disposition</x:v>
      </x:c>
      <x:c r="C10" s="16" t="str">
        <x:v>Early manipulation gap</x:v>
      </x:c>
      <x:c r="D10" s="16" t="str">
        <x:v>Gap recorded with preliminary compensating questions</x:v>
      </x:c>
      <x:c r="E10" s="16" t="str">
        <x:v>Impact on confidence and additional evidence not decided</x:v>
      </x:c>
      <x:c r="F10" s="16" t="str">
        <x:v>Change owner</x:v>
      </x:c>
      <x:c r="G10" s="16" t="str">
        <x:v>EV-01</x:v>
      </x:c>
      <x:c r="H10" s="16" t="str">
        <x:v>Cell-line + quality + regulatory CMC</x:v>
      </x:c>
      <x:c r="I10" s="16" t="str">
        <x:v>Pending review</x:v>
      </x:c>
      <x:c r="J10" s="16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Clone Development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Record selection stages, process context, product evidence and trade-offs—not productivity alone.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CD-01</x:v>
      </x:c>
      <x:c r="B5" s="16" t="str">
        <x:v>Candidate genealogy</x:v>
      </x:c>
      <x:c r="C5" s="16" t="str">
        <x:v>Fictional candidates derived from EC-F01 transfection</x:v>
      </x:c>
      <x:c r="D5" s="16" t="str">
        <x:v>Selection-stage and candidate identifiers indexed</x:v>
      </x:c>
      <x:c r="E5" s="16" t="str">
        <x:v>Complete discarded-candidate trace requires review</x:v>
      </x:c>
      <x:c r="F5" s="16" t="str">
        <x:v>Cell-line development</x:v>
      </x:c>
      <x:c r="G5" s="16" t="str">
        <x:v>EV-04</x:v>
      </x:c>
      <x:c r="H5" s="16" t="str">
        <x:v>Cell-line development + data governance</x:v>
      </x:c>
      <x:c r="I5" s="16" t="str">
        <x:v>Pending review</x:v>
      </x:c>
      <x:c r="J5" s="16" t="str">
        <x:f>IF(B5="","Incomplete",IF(G5="","Evidence required",IF(OR(H5="",I5&lt;&gt;"Accepted"),"Review required","Complete")))</x:f>
        <x:v>Review required</x:v>
      </x:c>
    </x:row>
    <x:row r="6" ht="64" customHeight="1">
      <x:c r="A6" s="16" t="str">
        <x:v>CD-02</x:v>
      </x:c>
      <x:c r="B6" s="16" t="str">
        <x:v>Selection attributes</x:v>
      </x:c>
      <x:c r="C6" s="16" t="str">
        <x:v>Growth, productivity and preliminary product-quality questions</x:v>
      </x:c>
      <x:c r="D6" s="16" t="str">
        <x:v>Historical screen summary available</x:v>
      </x:c>
      <x:c r="E6" s="16" t="str">
        <x:v>Current-process relevance and method limitations open</x:v>
      </x:c>
      <x:c r="F6" s="16" t="str">
        <x:v>Cell-line development</x:v>
      </x:c>
      <x:c r="G6" s="16" t="str">
        <x:v>EV-04</x:v>
      </x:c>
      <x:c r="H6" s="16" t="str">
        <x:v>Process + analytical/product quality</x:v>
      </x:c>
      <x:c r="I6" s="16" t="str">
        <x:v>Pending review</x:v>
      </x:c>
      <x:c r="J6" s="16" t="str">
        <x:f>IF(B6="","Incomplete",IF(G6="","Evidence required",IF(OR(H6="",I6&lt;&gt;"Accepted"),"Review required","Complete")))</x:f>
        <x:v>Review required</x:v>
      </x:c>
    </x:row>
    <x:row r="7" ht="64" customHeight="1">
      <x:c r="A7" s="16" t="str">
        <x:v>CD-03</x:v>
      </x:c>
      <x:c r="B7" s="16" t="str">
        <x:v>Process context</x:v>
      </x:c>
      <x:c r="C7" s="16" t="str">
        <x:v>Historical platform-like screening process</x:v>
      </x:c>
      <x:c r="D7" s="16" t="str">
        <x:v>Culture configuration and screen conditions summarized</x:v>
      </x:c>
      <x:c r="E7" s="16" t="str">
        <x:v>Representativeness for current commercial process open</x:v>
      </x:c>
      <x:c r="F7" s="16" t="str">
        <x:v>Upstream/MSAT</x:v>
      </x:c>
      <x:c r="G7" s="16" t="str">
        <x:v>EV-04</x:v>
      </x:c>
      <x:c r="H7" s="16" t="str">
        <x:v>Upstream + statistics</x:v>
      </x:c>
      <x:c r="I7" s="16" t="str">
        <x:v>Pending review</x:v>
      </x:c>
      <x:c r="J7" s="16" t="str">
        <x:f>IF(B7="","Incomplete",IF(G7="","Evidence required",IF(OR(H7="",I7&lt;&gt;"Accepted"),"Review required","Complete")))</x:f>
        <x:v>Review required</x:v>
      </x:c>
    </x:row>
    <x:row r="8" ht="64" customHeight="1">
      <x:c r="A8" s="16" t="str">
        <x:v>CD-04</x:v>
      </x:c>
      <x:c r="B8" s="16" t="str">
        <x:v>Product-quality observations</x:v>
      </x:c>
      <x:c r="C8" s="16" t="str">
        <x:v>Fictional early characterization only</x:v>
      </x:c>
      <x:c r="D8" s="16" t="str">
        <x:v>Attribute observations and method references indexed</x:v>
      </x:c>
      <x:c r="E8" s="16" t="str">
        <x:v>Sensitivity, comparability and stability relevance open</x:v>
      </x:c>
      <x:c r="F8" s="16" t="str">
        <x:v>Product quality</x:v>
      </x:c>
      <x:c r="G8" s="16" t="str">
        <x:v>EV-05</x:v>
      </x:c>
      <x:c r="H8" s="16" t="str">
        <x:v>Analytical/product quality + regulatory</x:v>
      </x:c>
      <x:c r="I8" s="16" t="str">
        <x:v>Pending review</x:v>
      </x:c>
      <x:c r="J8" s="16" t="str">
        <x:f>IF(B8="","Incomplete",IF(G8="","Evidence required",IF(OR(H8="",I8&lt;&gt;"Accepted"),"Review required","Complete")))</x:f>
        <x:v>Review required</x:v>
      </x:c>
    </x:row>
    <x:row r="9" ht="64" customHeight="1">
      <x:c r="A9" s="16" t="str">
        <x:v>CD-05</x:v>
      </x:c>
      <x:c r="B9" s="16" t="str">
        <x:v>Trade-off rationale</x:v>
      </x:c>
      <x:c r="C9" s="16" t="str">
        <x:v>Selected clone CL-F01</x:v>
      </x:c>
      <x:c r="D9" s="16" t="str">
        <x:v>Decision summary cites multiple candidate attributes</x:v>
      </x:c>
      <x:c r="E9" s="16" t="str">
        <x:v>Weighting, uncertainty and rejected-alternative rationale incomplete</x:v>
      </x:c>
      <x:c r="F9" s="16" t="str">
        <x:v>Cell-line development</x:v>
      </x:c>
      <x:c r="G9" s="16" t="str">
        <x:v>EV-04</x:v>
      </x:c>
      <x:c r="H9" s="16" t="str">
        <x:v>Cross-functional product/process review</x:v>
      </x:c>
      <x:c r="I9" s="16" t="str">
        <x:v>Pending review</x:v>
      </x:c>
      <x:c r="J9" s="16" t="str">
        <x:f>IF(B9="","Incomplete",IF(G9="","Evidence required",IF(OR(H9="",I9&lt;&gt;"Accepted"),"Review required","Complete")))</x:f>
        <x:v>Review required</x:v>
      </x:c>
    </x:row>
    <x:row r="10" ht="64" customHeight="1">
      <x:c r="A10" s="16" t="str">
        <x:v>CD-06</x:v>
      </x:c>
      <x:c r="B10" s="16" t="str">
        <x:v>Decision provenance</x:v>
      </x:c>
      <x:c r="C10" s="16" t="str">
        <x:v>Historical clone-selection decision</x:v>
      </x:c>
      <x:c r="D10" s="16" t="str">
        <x:v>Approver roles and controlled summary indexed</x:v>
      </x:c>
      <x:c r="E10" s="16" t="str">
        <x:v>Appointment evidence and modern applicability not recorded</x:v>
      </x:c>
      <x:c r="F10" s="16" t="str">
        <x:v>Quality</x:v>
      </x:c>
      <x:c r="G10" s="16" t="str">
        <x:v>EV-04</x:v>
      </x:c>
      <x:c r="H10" s="16" t="str">
        <x:v>Quality + regulatory CMC</x:v>
      </x:c>
      <x:c r="I10" s="16" t="str">
        <x:v>Pending review</x:v>
      </x:c>
      <x:c r="J10" s="16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4" priority="1" operator="containsText" text="Incomplete"/>
    <x:cfRule type="containsText" dxfId="5" priority="2" operator="containsText" text="Evidence required"/>
    <x:cfRule type="containsText" dxfId="6" priority="3" operator="containsText" text="Review required"/>
    <x:cfRule type="containsText" dxfId="7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Bank Hierarchy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Trace exact parent-child genealogy, inventory, locations, replacement and retirement authority.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BH-01</x:v>
      </x:c>
      <x:c r="B5" s="16" t="str">
        <x:v>Master cell bank MCB-F01</x:v>
      </x:c>
      <x:c r="C5" s="16" t="str">
        <x:v>Parent of current and replacement WCBs</x:v>
      </x:c>
      <x:c r="D5" s="16" t="str">
        <x:v>Genealogy, identifier and current inventory indexed</x:v>
      </x:c>
      <x:c r="E5" s="16" t="str">
        <x:v>Authorized scope and residual inventory risk require review</x:v>
      </x:c>
      <x:c r="F5" s="16" t="str">
        <x:v>Bank custodian</x:v>
      </x:c>
      <x:c r="G5" s="16" t="str">
        <x:v>EV-03</x:v>
      </x:c>
      <x:c r="H5" s="16" t="str">
        <x:v>Cell-bank operations + quality</x:v>
      </x:c>
      <x:c r="I5" s="16" t="str">
        <x:v>Pending review</x:v>
      </x:c>
      <x:c r="J5" s="16" t="str">
        <x:f>IF(B5="","Incomplete",IF(G5="","Evidence required",IF(OR(H5="",I5&lt;&gt;"Accepted"),"Review required","Complete")))</x:f>
        <x:v>Review required</x:v>
      </x:c>
    </x:row>
    <x:row r="6" ht="64" customHeight="1">
      <x:c r="A6" s="16" t="str">
        <x:v>BH-02</x:v>
      </x:c>
      <x:c r="B6" s="16" t="str">
        <x:v>Current working bank WCB-F01</x:v>
      </x:c>
      <x:c r="C6" s="16" t="str">
        <x:v>Current manufacturing bank</x:v>
      </x:c>
      <x:c r="D6" s="16" t="str">
        <x:v>Parent, manufacture and use history indexed</x:v>
      </x:c>
      <x:c r="E6" s="16" t="str">
        <x:v>Lifecycle comparison to replacement bank open</x:v>
      </x:c>
      <x:c r="F6" s="16" t="str">
        <x:v>Bank custodian</x:v>
      </x:c>
      <x:c r="G6" s="16" t="str">
        <x:v>EV-03</x:v>
      </x:c>
      <x:c r="H6" s="16" t="str">
        <x:v>Cell-bank operations + manufacturing</x:v>
      </x:c>
      <x:c r="I6" s="16" t="str">
        <x:v>Pending review</x:v>
      </x:c>
      <x:c r="J6" s="16" t="str">
        <x:f>IF(B6="","Incomplete",IF(G6="","Evidence required",IF(OR(H6="",I6&lt;&gt;"Accepted"),"Review required","Complete")))</x:f>
        <x:v>Review required</x:v>
      </x:c>
    </x:row>
    <x:row r="7" ht="64" customHeight="1">
      <x:c r="A7" s="16" t="str">
        <x:v>BH-03</x:v>
      </x:c>
      <x:c r="B7" s="16" t="str">
        <x:v>Replacement working bank WCB-F02</x:v>
      </x:c>
      <x:c r="C7" s="16" t="str">
        <x:v>Derived from MCB-F01; new suite</x:v>
      </x:c>
      <x:c r="D7" s="16" t="str">
        <x:v>Draft genealogy and manufacture plan available</x:v>
      </x:c>
      <x:c r="E7" s="16" t="str">
        <x:v>Release, characterization, comparability and use evidence open</x:v>
      </x:c>
      <x:c r="F7" s="16" t="str">
        <x:v>Bank manufacture lead</x:v>
      </x:c>
      <x:c r="G7" s="16" t="str">
        <x:v>EV-06</x:v>
      </x:c>
      <x:c r="H7" s="16" t="str">
        <x:v>Cell-bank operations + quality</x:v>
      </x:c>
      <x:c r="I7" s="16" t="str">
        <x:v>Pending review</x:v>
      </x:c>
      <x:c r="J7" s="16" t="str">
        <x:f>IF(B7="","Incomplete",IF(G7="","Evidence required",IF(OR(H7="",I7&lt;&gt;"Accepted"),"Review required","Complete")))</x:f>
        <x:v>Review required</x:v>
      </x:c>
    </x:row>
    <x:row r="8" ht="64" customHeight="1">
      <x:c r="A8" s="16" t="str">
        <x:v>BH-04</x:v>
      </x:c>
      <x:c r="B8" s="16" t="str">
        <x:v>Bank genealogy</x:v>
      </x:c>
      <x:c r="C8" s="16" t="str">
        <x:v>Parental → MCB-F01 → WCB-F01/WCB-F02</x:v>
      </x:c>
      <x:c r="D8" s="16" t="str">
        <x:v>Controlled genealogy diagram indexed</x:v>
      </x:c>
      <x:c r="E8" s="16" t="str">
        <x:v>No unexplained bank level; source-history gap remains explicit</x:v>
      </x:c>
      <x:c r="F8" s="16" t="str">
        <x:v>Data governance</x:v>
      </x:c>
      <x:c r="G8" s="16" t="str">
        <x:v>EV-03</x:v>
      </x:c>
      <x:c r="H8" s="16" t="str">
        <x:v>Cell-line development + quality</x:v>
      </x:c>
      <x:c r="I8" s="16" t="str">
        <x:v>Pending review</x:v>
      </x:c>
      <x:c r="J8" s="16" t="str">
        <x:f>IF(B8="","Incomplete",IF(G8="","Evidence required",IF(OR(H8="",I8&lt;&gt;"Accepted"),"Review required","Complete")))</x:f>
        <x:v>Review required</x:v>
      </x:c>
    </x:row>
    <x:row r="9" ht="64" customHeight="1">
      <x:c r="A9" s="16" t="str">
        <x:v>BH-05</x:v>
      </x:c>
      <x:c r="B9" s="16" t="str">
        <x:v>Inventory and locations</x:v>
      </x:c>
      <x:c r="C9" s="16" t="str">
        <x:v>Fictional primary/backup storage</x:v>
      </x:c>
      <x:c r="D9" s="16" t="str">
        <x:v>Inventory and location controls indexed</x:v>
      </x:c>
      <x:c r="E9" s="16" t="str">
        <x:v>Continuity, reconciliation and access review open</x:v>
      </x:c>
      <x:c r="F9" s="16" t="str">
        <x:v>Bank custodian</x:v>
      </x:c>
      <x:c r="G9" s="16" t="str">
        <x:v>EV-03</x:v>
      </x:c>
      <x:c r="H9" s="16" t="str">
        <x:v>Bank custody + supply continuity</x:v>
      </x:c>
      <x:c r="I9" s="16" t="str">
        <x:v>Pending review</x:v>
      </x:c>
      <x:c r="J9" s="16" t="str">
        <x:f>IF(B9="","Incomplete",IF(G9="","Evidence required",IF(OR(H9="",I9&lt;&gt;"Accepted"),"Review required","Complete")))</x:f>
        <x:v>Review required</x:v>
      </x:c>
    </x:row>
    <x:row r="10" ht="64" customHeight="1">
      <x:c r="A10" s="16" t="str">
        <x:v>BH-06</x:v>
      </x:c>
      <x:c r="B10" s="16" t="str">
        <x:v>Replacement/retirement</x:v>
      </x:c>
      <x:c r="C10" s="16" t="str">
        <x:v>Transition from WCB-F01 to WCB-F02</x:v>
      </x:c>
      <x:c r="D10" s="16" t="str">
        <x:v>Draft transition concept available</x:v>
      </x:c>
      <x:c r="E10" s="16" t="str">
        <x:v>Implementation, monitoring and retirement authority open</x:v>
      </x:c>
      <x:c r="F10" s="16" t="str">
        <x:v>Change owner</x:v>
      </x:c>
      <x:c r="G10" s="16" t="str">
        <x:v>EV-10</x:v>
      </x:c>
      <x:c r="H10" s="16" t="str">
        <x:v>Quality + manufacturing + regulatory</x:v>
      </x:c>
      <x:c r="I10" s="16" t="str">
        <x:v>Pending review</x:v>
      </x:c>
      <x:c r="J10" s="16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8" priority="1" operator="containsText" text="Incomplete"/>
    <x:cfRule type="containsText" dxfId="9" priority="2" operator="containsText" text="Evidence required"/>
    <x:cfRule type="containsText" dxfId="10" priority="3" operator="containsText" text="Review required"/>
    <x:cfRule type="containsText" dxfId="11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Bank Manufacture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Separate manufacture completion from characterization, release, storage and authorized use.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BM-01</x:v>
      </x:c>
      <x:c r="B5" s="16" t="str">
        <x:v>Manufacturing suite/site</x:v>
      </x:c>
      <x:c r="C5" s="16" t="str">
        <x:v>Replacement WCB in new controlled suite</x:v>
      </x:c>
      <x:c r="D5" s="16" t="str">
        <x:v>Facility/process comparison indexed</x:v>
      </x:c>
      <x:c r="E5" s="16" t="str">
        <x:v>Exact differences and validation impact unresolved</x:v>
      </x:c>
      <x:c r="F5" s="16" t="str">
        <x:v>Bank manufacture lead</x:v>
      </x:c>
      <x:c r="G5" s="16" t="str">
        <x:v>EV-06</x:v>
      </x:c>
      <x:c r="H5" s="16" t="str">
        <x:v>Operations + validation + quality</x:v>
      </x:c>
      <x:c r="I5" s="16" t="str">
        <x:v>Pending review</x:v>
      </x:c>
      <x:c r="J5" s="16" t="str">
        <x:f>IF(B5="","Incomplete",IF(G5="","Evidence required",IF(OR(H5="",I5&lt;&gt;"Accepted"),"Review required","Complete")))</x:f>
        <x:v>Review required</x:v>
      </x:c>
    </x:row>
    <x:row r="6" ht="64" customHeight="1">
      <x:c r="A6" s="16" t="str">
        <x:v>BM-02</x:v>
      </x:c>
      <x:c r="B6" s="16" t="str">
        <x:v>Bank manufacture process</x:v>
      </x:c>
      <x:c r="C6" s="16" t="str">
        <x:v>Fictional controlled process version BM-F02</x:v>
      </x:c>
      <x:c r="D6" s="16" t="str">
        <x:v>Draft process and batch record references available</x:v>
      </x:c>
      <x:c r="E6" s="16" t="str">
        <x:v>No execution, deviation or release conclusion</x:v>
      </x:c>
      <x:c r="F6" s="16" t="str">
        <x:v>Bank manufacture lead</x:v>
      </x:c>
      <x:c r="G6" s="16" t="str">
        <x:v>EV-06</x:v>
      </x:c>
      <x:c r="H6" s="16" t="str">
        <x:v>Cell-bank operations + quality</x:v>
      </x:c>
      <x:c r="I6" s="16" t="str">
        <x:v>Pending review</x:v>
      </x:c>
      <x:c r="J6" s="16" t="str">
        <x:f>IF(B6="","Incomplete",IF(G6="","Evidence required",IF(OR(H6="",I6&lt;&gt;"Accepted"),"Review required","Complete")))</x:f>
        <x:v>Review required</x:v>
      </x:c>
    </x:row>
    <x:row r="7" ht="64" customHeight="1">
      <x:c r="A7" s="16" t="str">
        <x:v>BM-03</x:v>
      </x:c>
      <x:c r="B7" s="16" t="str">
        <x:v>Containers and cryostorage</x:v>
      </x:c>
      <x:c r="C7" s="16" t="str">
        <x:v>Defined fictional container/storage system</x:v>
      </x:c>
      <x:c r="D7" s="16" t="str">
        <x:v>Supplier and storage-system references indexed</x:v>
      </x:c>
      <x:c r="E7" s="16" t="str">
        <x:v>Compatibility, monitoring and change bridge open</x:v>
      </x:c>
      <x:c r="F7" s="16" t="str">
        <x:v>Bank custodian</x:v>
      </x:c>
      <x:c r="G7" s="16" t="str">
        <x:v>EV-07</x:v>
      </x:c>
      <x:c r="H7" s="16" t="str">
        <x:v>Bank operations + engineering/validation</x:v>
      </x:c>
      <x:c r="I7" s="16" t="str">
        <x:v>Pending review</x:v>
      </x:c>
      <x:c r="J7" s="16" t="str">
        <x:f>IF(B7="","Incomplete",IF(G7="","Evidence required",IF(OR(H7="",I7&lt;&gt;"Accepted"),"Review required","Complete")))</x:f>
        <x:v>Review required</x:v>
      </x:c>
    </x:row>
    <x:row r="8" ht="64" customHeight="1">
      <x:c r="A8" s="16" t="str">
        <x:v>BM-04</x:v>
      </x:c>
      <x:c r="B8" s="16" t="str">
        <x:v>Inventory/reconciliation</x:v>
      </x:c>
      <x:c r="C8" s="16" t="str">
        <x:v>Planned vial inventory and custody</x:v>
      </x:c>
      <x:c r="D8" s="16" t="str">
        <x:v>Draft reconciliation and access flow available</x:v>
      </x:c>
      <x:c r="E8" s="16" t="str">
        <x:v>Execution and independent verification open</x:v>
      </x:c>
      <x:c r="F8" s="16" t="str">
        <x:v>Bank custodian</x:v>
      </x:c>
      <x:c r="G8" s="16" t="str">
        <x:v>EV-07</x:v>
      </x:c>
      <x:c r="H8" s="16" t="str">
        <x:v>Bank custody + quality</x:v>
      </x:c>
      <x:c r="I8" s="16" t="str">
        <x:v>Pending review</x:v>
      </x:c>
      <x:c r="J8" s="16" t="str">
        <x:f>IF(B8="","Incomplete",IF(G8="","Evidence required",IF(OR(H8="",I8&lt;&gt;"Accepted"),"Review required","Complete")))</x:f>
        <x:v>Review required</x:v>
      </x:c>
    </x:row>
    <x:row r="9" ht="64" customHeight="1">
      <x:c r="A9" s="16" t="str">
        <x:v>BM-05</x:v>
      </x:c>
      <x:c r="B9" s="16" t="str">
        <x:v>Shipment/thaw/use</x:v>
      </x:c>
      <x:c r="C9" s="16" t="str">
        <x:v>Transfer from storage to manufacturing</x:v>
      </x:c>
      <x:c r="D9" s="16" t="str">
        <x:v>Current handling procedure references indexed</x:v>
      </x:c>
      <x:c r="E9" s="16" t="str">
        <x:v>Replacement-bank/site applicability and excursion response open</x:v>
      </x:c>
      <x:c r="F9" s="16" t="str">
        <x:v>Manufacturing</x:v>
      </x:c>
      <x:c r="G9" s="16" t="str">
        <x:v>EV-07</x:v>
      </x:c>
      <x:c r="H9" s="16" t="str">
        <x:v>Manufacturing + bank custodian + quality</x:v>
      </x:c>
      <x:c r="I9" s="16" t="str">
        <x:v>Pending review</x:v>
      </x:c>
      <x:c r="J9" s="16" t="str">
        <x:f>IF(B9="","Incomplete",IF(G9="","Evidence required",IF(OR(H9="",I9&lt;&gt;"Accepted"),"Review required","Complete")))</x:f>
        <x:v>Review required</x:v>
      </x:c>
    </x:row>
    <x:row r="10" ht="64" customHeight="1">
      <x:c r="A10" s="16" t="str">
        <x:v>BM-06</x:v>
      </x:c>
      <x:c r="B10" s="16" t="str">
        <x:v>Excursions and continuity</x:v>
      </x:c>
      <x:c r="C10" s="16" t="str">
        <x:v>Storage/monitoring and backup-location interface</x:v>
      </x:c>
      <x:c r="D10" s="16" t="str">
        <x:v>Alarm and deviation framework indexed</x:v>
      </x:c>
      <x:c r="E10" s="16" t="str">
        <x:v>No bank-specific excursion or continuity decision</x:v>
      </x:c>
      <x:c r="F10" s="16" t="str">
        <x:v>Quality</x:v>
      </x:c>
      <x:c r="G10" s="16" t="str">
        <x:v>EV-07</x:v>
      </x:c>
      <x:c r="H10" s="16" t="str">
        <x:v>Quality + engineering + continuity</x:v>
      </x:c>
      <x:c r="I10" s="16" t="str">
        <x:v>Pending review</x:v>
      </x:c>
      <x:c r="J10" s="16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12" priority="1" operator="containsText" text="Incomplete"/>
    <x:cfRule type="containsText" dxfId="13" priority="2" operator="containsText" text="Evidence required"/>
    <x:cfRule type="containsText" dxfId="14" priority="3" operator="containsText" text="Review required"/>
    <x:cfRule type="containsText" dxfId="15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Characterization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State each question, material, timing, method capability, limitation, contradiction and reviewer.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CH-01</x:v>
      </x:c>
      <x:c r="B5" s="16" t="str">
        <x:v>Identity</x:v>
      </x:c>
      <x:c r="C5" s="16" t="str">
        <x:v>MCB-F01 and planned WCB-F02 context</x:v>
      </x:c>
      <x:c r="D5" s="16" t="str">
        <x:v>Applicable method and historical record indexed</x:v>
      </x:c>
      <x:c r="E5" s="16" t="str">
        <x:v>Material/timing/method capability for replacement bank open</x:v>
      </x:c>
      <x:c r="F5" s="16" t="str">
        <x:v>Characterization lead</x:v>
      </x:c>
      <x:c r="G5" s="16" t="str">
        <x:v>EV-08</x:v>
      </x:c>
      <x:c r="H5" s="16" t="str">
        <x:v>Molecular/cell characterization + quality</x:v>
      </x:c>
      <x:c r="I5" s="16" t="str">
        <x:v>Pending review</x:v>
      </x:c>
      <x:c r="J5" s="16" t="str">
        <x:f>IF(B5="","Incomplete",IF(G5="","Evidence required",IF(OR(H5="",I5&lt;&gt;"Accepted"),"Review required","Complete")))</x:f>
        <x:v>Review required</x:v>
      </x:c>
    </x:row>
    <x:row r="6" ht="64" customHeight="1">
      <x:c r="A6" s="16" t="str">
        <x:v>CH-02</x:v>
      </x:c>
      <x:c r="B6" s="16" t="str">
        <x:v>Purity/contaminants</x:v>
      </x:c>
      <x:c r="C6" s="16" t="str">
        <x:v>Defined cell-bank materials</x:v>
      </x:c>
      <x:c r="D6" s="16" t="str">
        <x:v>Historical purity evidence map available</x:v>
      </x:c>
      <x:c r="E6" s="16" t="str">
        <x:v>Current bank-specific panel applicability and limitations open</x:v>
      </x:c>
      <x:c r="F6" s="16" t="str">
        <x:v>Characterization lead</x:v>
      </x:c>
      <x:c r="G6" s="16" t="str">
        <x:v>EV-08</x:v>
      </x:c>
      <x:c r="H6" s="16" t="str">
        <x:v>Microbiology + cell characterization</x:v>
      </x:c>
      <x:c r="I6" s="16" t="str">
        <x:v>Pending review</x:v>
      </x:c>
      <x:c r="J6" s="16" t="str">
        <x:f>IF(B6="","Incomplete",IF(G6="","Evidence required",IF(OR(H6="",I6&lt;&gt;"Accepted"),"Review required","Complete")))</x:f>
        <x:v>Review required</x:v>
      </x:c>
    </x:row>
    <x:row r="7" ht="64" customHeight="1">
      <x:c r="A7" s="16" t="str">
        <x:v>CH-03</x:v>
      </x:c>
      <x:c r="B7" s="16" t="str">
        <x:v>Adventitious-agent/viral safety</x:v>
      </x:c>
      <x:c r="C7" s="16" t="str">
        <x:v>CHO cell substrate and process context</x:v>
      </x:c>
      <x:c r="D7" s="16" t="str">
        <x:v>Current source and historical evidence indexed</x:v>
      </x:c>
      <x:c r="E7" s="16" t="str">
        <x:v>Product/cell/process-specific strategy and residual questions open</x:v>
      </x:c>
      <x:c r="F7" s="16" t="str">
        <x:v>Viral-safety owner</x:v>
      </x:c>
      <x:c r="G7" s="16" t="str">
        <x:v>EV-08</x:v>
      </x:c>
      <x:c r="H7" s="16" t="str">
        <x:v>Virology/viral safety + quality</x:v>
      </x:c>
      <x:c r="I7" s="16" t="str">
        <x:v>Pending review</x:v>
      </x:c>
      <x:c r="J7" s="16" t="str">
        <x:f>IF(B7="","Incomplete",IF(G7="","Evidence required",IF(OR(H7="",I7&lt;&gt;"Accepted"),"Review required","Complete")))</x:f>
        <x:v>Review required</x:v>
      </x:c>
    </x:row>
    <x:row r="8" ht="64" customHeight="1">
      <x:c r="A8" s="16" t="str">
        <x:v>CH-04</x:v>
      </x:c>
      <x:c r="B8" s="16" t="str">
        <x:v>Phenotype</x:v>
      </x:c>
      <x:c r="C8" s="16" t="str">
        <x:v>Relevant growth, expression and morphology context</x:v>
      </x:c>
      <x:c r="D8" s="16" t="str">
        <x:v>Historical observations indexed</x:v>
      </x:c>
      <x:c r="E8" s="16" t="str">
        <x:v>Current-process representativeness and method sensitivity open</x:v>
      </x:c>
      <x:c r="F8" s="16" t="str">
        <x:v>Cell-line development</x:v>
      </x:c>
      <x:c r="G8" s="16" t="str">
        <x:v>EV-09</x:v>
      </x:c>
      <x:c r="H8" s="16" t="str">
        <x:v>Cell-line + upstream/MSAT</x:v>
      </x:c>
      <x:c r="I8" s="16" t="str">
        <x:v>Pending review</x:v>
      </x:c>
      <x:c r="J8" s="16" t="str">
        <x:f>IF(B8="","Incomplete",IF(G8="","Evidence required",IF(OR(H8="",I8&lt;&gt;"Accepted"),"Review required","Complete")))</x:f>
        <x:v>Review required</x:v>
      </x:c>
    </x:row>
    <x:row r="9" ht="64" customHeight="1">
      <x:c r="A9" s="16" t="str">
        <x:v>CH-05</x:v>
      </x:c>
      <x:c r="B9" s="16" t="str">
        <x:v>Construct/expression</x:v>
      </x:c>
      <x:c r="C9" s="16" t="str">
        <x:v>Bank and production-age materials</x:v>
      </x:c>
      <x:c r="D9" s="16" t="str">
        <x:v>Construct and expression evidence concepts indexed</x:v>
      </x:c>
      <x:c r="E9" s="16" t="str">
        <x:v>Exact materials, methods, detection boundaries and interpretation open</x:v>
      </x:c>
      <x:c r="F9" s="16" t="str">
        <x:v>Molecular characterization</x:v>
      </x:c>
      <x:c r="G9" s="16" t="str">
        <x:v>EV-09</x:v>
      </x:c>
      <x:c r="H9" s="16" t="str">
        <x:v>Molecular + analytical/product quality</x:v>
      </x:c>
      <x:c r="I9" s="16" t="str">
        <x:v>Pending review</x:v>
      </x:c>
      <x:c r="J9" s="16" t="str">
        <x:f>IF(B9="","Incomplete",IF(G9="","Evidence required",IF(OR(H9="",I9&lt;&gt;"Accepted"),"Review required","Complete")))</x:f>
        <x:v>Review required</x:v>
      </x:c>
    </x:row>
    <x:row r="10" ht="64" customHeight="1">
      <x:c r="A10" s="16" t="str">
        <x:v>CH-06</x:v>
      </x:c>
      <x:c r="B10" s="16" t="str">
        <x:v>Contradictions/residual risk</x:v>
      </x:c>
      <x:c r="C10" s="16" t="str">
        <x:v>All characterization evidence</x:v>
      </x:c>
      <x:c r="D10" s="16" t="str">
        <x:v>No contradiction resolved by template</x:v>
      </x:c>
      <x:c r="E10" s="16" t="str">
        <x:v>Qualified synthesis and escalation route open</x:v>
      </x:c>
      <x:c r="F10" s="16" t="str">
        <x:v>Quality</x:v>
      </x:c>
      <x:c r="G10" s="16" t="str">
        <x:v>EV-08</x:v>
      </x:c>
      <x:c r="H10" s="16" t="str">
        <x:v>Cross-functional qualified review</x:v>
      </x:c>
      <x:c r="I10" s="16" t="str">
        <x:v>Pending review</x:v>
      </x:c>
      <x:c r="J10" s="16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16" priority="1" operator="containsText" text="Incomplete"/>
    <x:cfRule type="containsText" dxfId="17" priority="2" operator="containsText" text="Evidence required"/>
    <x:cfRule type="containsText" dxfId="18" priority="3" operator="containsText" text="Review required"/>
    <x:cfRule type="containsText" dxfId="19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Stability &amp; Age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Integrate exact culture-age traceability with construct, phenotype, process and product evidence.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SA-01</x:v>
      </x:c>
      <x:c r="B5" s="16" t="str">
        <x:v>Culture-age traceability</x:v>
      </x:c>
      <x:c r="C5" s="16" t="str">
        <x:v>MCB/WCB through defined production and extended-culture points</x:v>
      </x:c>
      <x:c r="D5" s="16" t="str">
        <x:v>Draft genealogy/culture timeline available</x:v>
      </x:c>
      <x:c r="E5" s="16" t="str">
        <x:v>Exact age metrics and sample traceability open</x:v>
      </x:c>
      <x:c r="F5" s="16" t="str">
        <x:v>Upstream/MSAT</x:v>
      </x:c>
      <x:c r="G5" s="16" t="str">
        <x:v>EV-09</x:v>
      </x:c>
      <x:c r="H5" s="16" t="str">
        <x:v>Cell-line + upstream + data governance</x:v>
      </x:c>
      <x:c r="I5" s="16" t="str">
        <x:v>Pending review</x:v>
      </x:c>
      <x:c r="J5" s="16" t="str">
        <x:f>IF(B5="","Incomplete",IF(G5="","Evidence required",IF(OR(H5="",I5&lt;&gt;"Accepted"),"Review required","Complete")))</x:f>
        <x:v>Review required</x:v>
      </x:c>
    </x:row>
    <x:row r="6" ht="64" customHeight="1">
      <x:c r="A6" s="16" t="str">
        <x:v>SA-02</x:v>
      </x:c>
      <x:c r="B6" s="16" t="str">
        <x:v>Comparison materials</x:v>
      </x:c>
      <x:c r="C6" s="16" t="str">
        <x:v>Early/bank and end-of-production-age concept</x:v>
      </x:c>
      <x:c r="D6" s="16" t="str">
        <x:v>Sample strategy concept available</x:v>
      </x:c>
      <x:c r="E6" s="16" t="str">
        <x:v>Representativeness, storage and test-material equivalence open</x:v>
      </x:c>
      <x:c r="F6" s="16" t="str">
        <x:v>Study owner</x:v>
      </x:c>
      <x:c r="G6" s="16" t="str">
        <x:v>EV-09</x:v>
      </x:c>
      <x:c r="H6" s="16" t="str">
        <x:v>Cell-line + analytical + statistics</x:v>
      </x:c>
      <x:c r="I6" s="16" t="str">
        <x:v>Pending review</x:v>
      </x:c>
      <x:c r="J6" s="16" t="str">
        <x:f>IF(B6="","Incomplete",IF(G6="","Evidence required",IF(OR(H6="",I6&lt;&gt;"Accepted"),"Review required","Complete")))</x:f>
        <x:v>Review required</x:v>
      </x:c>
    </x:row>
    <x:row r="7" ht="64" customHeight="1">
      <x:c r="A7" s="16" t="str">
        <x:v>SA-03</x:v>
      </x:c>
      <x:c r="B7" s="16" t="str">
        <x:v>Construct stability</x:v>
      </x:c>
      <x:c r="C7" s="16" t="str">
        <x:v>Defined construct evidence across age</x:v>
      </x:c>
      <x:c r="D7" s="16" t="str">
        <x:v>Historical construct references indexed</x:v>
      </x:c>
      <x:c r="E7" s="16" t="str">
        <x:v>Physical state/expression and detection limitations open</x:v>
      </x:c>
      <x:c r="F7" s="16" t="str">
        <x:v>Molecular characterization</x:v>
      </x:c>
      <x:c r="G7" s="16" t="str">
        <x:v>EV-09</x:v>
      </x:c>
      <x:c r="H7" s="16" t="str">
        <x:v>Molecular + product quality</x:v>
      </x:c>
      <x:c r="I7" s="16" t="str">
        <x:v>Pending review</x:v>
      </x:c>
      <x:c r="J7" s="16" t="str">
        <x:f>IF(B7="","Incomplete",IF(G7="","Evidence required",IF(OR(H7="",I7&lt;&gt;"Accepted"),"Review required","Complete")))</x:f>
        <x:v>Review required</x:v>
      </x:c>
    </x:row>
    <x:row r="8" ht="64" customHeight="1">
      <x:c r="A8" s="16" t="str">
        <x:v>SA-04</x:v>
      </x:c>
      <x:c r="B8" s="16" t="str">
        <x:v>Phenotypic/process stability</x:v>
      </x:c>
      <x:c r="C8" s="16" t="str">
        <x:v>Growth, productivity and process indicators</x:v>
      </x:c>
      <x:c r="D8" s="16" t="str">
        <x:v>Historical process trend references indexed</x:v>
      </x:c>
      <x:c r="E8" s="16" t="str">
        <x:v>Competing process causes and decision rules open</x:v>
      </x:c>
      <x:c r="F8" s="16" t="str">
        <x:v>Upstream/MSAT</x:v>
      </x:c>
      <x:c r="G8" s="16" t="str">
        <x:v>EV-05</x:v>
      </x:c>
      <x:c r="H8" s="16" t="str">
        <x:v>Upstream + statistics + quality</x:v>
      </x:c>
      <x:c r="I8" s="16" t="str">
        <x:v>Pending review</x:v>
      </x:c>
      <x:c r="J8" s="16" t="str">
        <x:f>IF(B8="","Incomplete",IF(G8="","Evidence required",IF(OR(H8="",I8&lt;&gt;"Accepted"),"Review required","Complete")))</x:f>
        <x:v>Review required</x:v>
      </x:c>
    </x:row>
    <x:row r="9" ht="64" customHeight="1">
      <x:c r="A9" s="16" t="str">
        <x:v>SA-05</x:v>
      </x:c>
      <x:c r="B9" s="16" t="str">
        <x:v>Product-quality stability</x:v>
      </x:c>
      <x:c r="C9" s="16" t="str">
        <x:v>Relevant characterization/release/stability attributes</x:v>
      </x:c>
      <x:c r="D9" s="16" t="str">
        <x:v>Current analytical strategy indexed</x:v>
      </x:c>
      <x:c r="E9" s="16" t="str">
        <x:v>Sensitive attribute, method capability and total evidence open</x:v>
      </x:c>
      <x:c r="F9" s="16" t="str">
        <x:v>Product quality</x:v>
      </x:c>
      <x:c r="G9" s="16" t="str">
        <x:v>EV-05</x:v>
      </x:c>
      <x:c r="H9" s="16" t="str">
        <x:v>Analytical/product quality + regulatory</x:v>
      </x:c>
      <x:c r="I9" s="16" t="str">
        <x:v>Pending review</x:v>
      </x:c>
      <x:c r="J9" s="16" t="str">
        <x:f>IF(B9="","Incomplete",IF(G9="","Evidence required",IF(OR(H9="",I9&lt;&gt;"Accepted"),"Review required","Complete")))</x:f>
        <x:v>Review required</x:v>
      </x:c>
    </x:row>
    <x:row r="10" ht="64" customHeight="1">
      <x:c r="A10" s="16" t="str">
        <x:v>SA-06</x:v>
      </x:c>
      <x:c r="B10" s="16" t="str">
        <x:v>Production-age decision</x:v>
      </x:c>
      <x:c r="C10" s="16" t="str">
        <x:v>Current process and proposed bank use</x:v>
      </x:c>
      <x:c r="D10" s="16" t="str">
        <x:v>Decision question and owners identified</x:v>
      </x:c>
      <x:c r="E10" s="16" t="str">
        <x:v>No universal limit or qualified conclusion</x:v>
      </x:c>
      <x:c r="F10" s="16" t="str">
        <x:v>Change owner</x:v>
      </x:c>
      <x:c r="G10" s="16" t="str">
        <x:v>EV-10</x:v>
      </x:c>
      <x:c r="H10" s="16" t="str">
        <x:v>Cell-line + process + product quality + regulatory</x:v>
      </x:c>
      <x:c r="I10" s="16" t="str">
        <x:v>Pending review</x:v>
      </x:c>
      <x:c r="J10" s="16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20" priority="1" operator="containsText" text="Incomplete"/>
    <x:cfRule type="containsText" dxfId="21" priority="2" operator="containsText" text="Evidence required"/>
    <x:cfRule type="containsText" dxfId="22" priority="3" operator="containsText" text="Review required"/>
    <x:cfRule type="containsText" dxfId="2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Change Assessment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Translate the exact bank/site/use difference into validation, comparability, filing and monitoring decisions.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CA-01</x:v>
      </x:c>
      <x:c r="B5" s="16" t="str">
        <x:v>Replacement WCB</x:v>
      </x:c>
      <x:c r="C5" s="16" t="str">
        <x:v>WCB-F02 derived from MCB-F01</x:v>
      </x:c>
      <x:c r="D5" s="16" t="str">
        <x:v>Genealogy and draft manufacture plan available</x:v>
      </x:c>
      <x:c r="E5" s="16" t="str">
        <x:v>Characterization, stability, product bridge and authorized use open</x:v>
      </x:c>
      <x:c r="F5" s="16" t="str">
        <x:v>Change owner</x:v>
      </x:c>
      <x:c r="G5" s="16" t="str">
        <x:v>EV-10</x:v>
      </x:c>
      <x:c r="H5" s="16" t="str">
        <x:v>Cross-functional quality/change review</x:v>
      </x:c>
      <x:c r="I5" s="16" t="str">
        <x:v>Pending review</x:v>
      </x:c>
      <x:c r="J5" s="16" t="str">
        <x:f>IF(B5="","Incomplete",IF(G5="","Evidence required",IF(OR(H5="",I5&lt;&gt;"Accepted"),"Review required","Complete")))</x:f>
        <x:v>Review required</x:v>
      </x:c>
    </x:row>
    <x:row r="6" ht="64" customHeight="1">
      <x:c r="A6" s="16" t="str">
        <x:v>CA-02</x:v>
      </x:c>
      <x:c r="B6" s="16" t="str">
        <x:v>New manufacture suite</x:v>
      </x:c>
      <x:c r="C6" s="16" t="str">
        <x:v>WCB-F02 manufacture location differs</x:v>
      </x:c>
      <x:c r="D6" s="16" t="str">
        <x:v>Facility/process comparison indexed</x:v>
      </x:c>
      <x:c r="E6" s="16" t="str">
        <x:v>Validation, contamination-control and bank-quality impact open</x:v>
      </x:c>
      <x:c r="F6" s="16" t="str">
        <x:v>Bank manufacture lead</x:v>
      </x:c>
      <x:c r="G6" s="16" t="str">
        <x:v>EV-06</x:v>
      </x:c>
      <x:c r="H6" s="16" t="str">
        <x:v>Operations + validation + quality</x:v>
      </x:c>
      <x:c r="I6" s="16" t="str">
        <x:v>Pending review</x:v>
      </x:c>
      <x:c r="J6" s="16" t="str">
        <x:f>IF(B6="","Incomplete",IF(G6="","Evidence required",IF(OR(H6="",I6&lt;&gt;"Accepted"),"Review required","Complete")))</x:f>
        <x:v>Review required</x:v>
      </x:c>
    </x:row>
    <x:row r="7" ht="64" customHeight="1">
      <x:c r="A7" s="16" t="str">
        <x:v>CA-03</x:v>
      </x:c>
      <x:c r="B7" s="16" t="str">
        <x:v>Lineage-history gap</x:v>
      </x:c>
      <x:c r="C7" s="16" t="str">
        <x:v>Early manipulation interval</x:v>
      </x:c>
      <x:c r="D7" s="16" t="str">
        <x:v>Gap and compensating questions recorded</x:v>
      </x:c>
      <x:c r="E7" s="16" t="str">
        <x:v>Impact on confidence, characterization and filing open</x:v>
      </x:c>
      <x:c r="F7" s="16" t="str">
        <x:v>Cell-line development</x:v>
      </x:c>
      <x:c r="G7" s="16" t="str">
        <x:v>EV-01</x:v>
      </x:c>
      <x:c r="H7" s="16" t="str">
        <x:v>Cell-line + quality + regulatory</x:v>
      </x:c>
      <x:c r="I7" s="16" t="str">
        <x:v>Pending review</x:v>
      </x:c>
      <x:c r="J7" s="16" t="str">
        <x:f>IF(B7="","Incomplete",IF(G7="","Evidence required",IF(OR(H7="",I7&lt;&gt;"Accepted"),"Review required","Complete")))</x:f>
        <x:v>Review required</x:v>
      </x:c>
    </x:row>
    <x:row r="8" ht="64" customHeight="1">
      <x:c r="A8" s="16" t="str">
        <x:v>CA-04</x:v>
      </x:c>
      <x:c r="B8" s="16" t="str">
        <x:v>Process/product bridge</x:v>
      </x:c>
      <x:c r="C8" s="16" t="str">
        <x:v>Current WCB-F01 versus proposed WCB-F02 use</x:v>
      </x:c>
      <x:c r="D8" s="16" t="str">
        <x:v>Current process and analytical history indexed</x:v>
      </x:c>
      <x:c r="E8" s="16" t="str">
        <x:v>Representative evidence, sensitivity, stability and comparability open</x:v>
      </x:c>
      <x:c r="F8" s="16" t="str">
        <x:v>Product quality</x:v>
      </x:c>
      <x:c r="G8" s="16" t="str">
        <x:v>EV-05</x:v>
      </x:c>
      <x:c r="H8" s="16" t="str">
        <x:v>Process + analytical + statistics + regulatory</x:v>
      </x:c>
      <x:c r="I8" s="16" t="str">
        <x:v>Pending review</x:v>
      </x:c>
      <x:c r="J8" s="16" t="str">
        <x:f>IF(B8="","Incomplete",IF(G8="","Evidence required",IF(OR(H8="",I8&lt;&gt;"Accepted"),"Review required","Complete")))</x:f>
        <x:v>Review required</x:v>
      </x:c>
    </x:row>
    <x:row r="9" ht="64" customHeight="1">
      <x:c r="A9" s="16" t="str">
        <x:v>CA-05</x:v>
      </x:c>
      <x:c r="B9" s="16" t="str">
        <x:v>Validation/regulatory interface</x:v>
      </x:c>
      <x:c r="C9" s="16" t="str">
        <x:v>Bank manufacture/use and market commitments</x:v>
      </x:c>
      <x:c r="D9" s="16" t="str">
        <x:v>Draft assessment structure available</x:v>
      </x:c>
      <x:c r="E9" s="16" t="str">
        <x:v>Strategies, category, commitments and approval open</x:v>
      </x:c>
      <x:c r="F9" s="16" t="str">
        <x:v>Regulatory CMC</x:v>
      </x:c>
      <x:c r="G9" s="16" t="str">
        <x:v>EV-10</x:v>
      </x:c>
      <x:c r="H9" s="16" t="str">
        <x:v>Validation + quality + regulatory CMC</x:v>
      </x:c>
      <x:c r="I9" s="16" t="str">
        <x:v>Pending review</x:v>
      </x:c>
      <x:c r="J9" s="16" t="str">
        <x:f>IF(B9="","Incomplete",IF(G9="","Evidence required",IF(OR(H9="",I9&lt;&gt;"Accepted"),"Review required","Complete")))</x:f>
        <x:v>Review required</x:v>
      </x:c>
    </x:row>
    <x:row r="10" ht="64" customHeight="1">
      <x:c r="A10" s="16" t="str">
        <x:v>CA-06</x:v>
      </x:c>
      <x:c r="B10" s="16" t="str">
        <x:v>Implementation/monitoring</x:v>
      </x:c>
      <x:c r="C10" s="16" t="str">
        <x:v>Authorized transition and post-use monitoring</x:v>
      </x:c>
      <x:c r="D10" s="16" t="str">
        <x:v>Draft action register available</x:v>
      </x:c>
      <x:c r="E10" s="16" t="str">
        <x:v>Decision conditions, monitoring and retirement ownership open</x:v>
      </x:c>
      <x:c r="F10" s="16" t="str">
        <x:v>Change owner</x:v>
      </x:c>
      <x:c r="G10" s="16" t="str">
        <x:v>EV-10</x:v>
      </x:c>
      <x:c r="H10" s="16" t="str">
        <x:v>Manufacturing + quality + regulatory</x:v>
      </x:c>
      <x:c r="I10" s="16" t="str">
        <x:v>Pending review</x:v>
      </x:c>
      <x:c r="J10" s="16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24" priority="1" operator="containsText" text="Incomplete"/>
    <x:cfRule type="containsText" dxfId="25" priority="2" operator="containsText" text="Evidence required"/>
    <x:cfRule type="containsText" dxfId="26" priority="3" operator="containsText" text="Review required"/>
    <x:cfRule type="containsText" dxfId="27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34" hidden="0" customWidth="1"/>
    <x:col min="4" max="4" width="43" hidden="0" customWidth="1"/>
    <x:col min="5" max="5" width="43" hidden="0" customWidth="1"/>
    <x:col min="6" max="6" width="24" hidden="0" customWidth="1"/>
    <x:col min="7" max="7" width="14" hidden="0" customWidth="1"/>
    <x:col min="8" max="8" width="31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Every evidence object needs a controlled ID, version, locator, limitation, owner and review state.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1" customHeight="1">
      <x:c r="A4" s="10" t="str">
        <x:v>ID</x:v>
      </x:c>
      <x:c r="B4" s="10" t="str">
        <x:v>Object</x:v>
      </x:c>
      <x:c r="C4" s="10" t="str">
        <x:v>Scope / version</x:v>
      </x:c>
      <x:c r="D4" s="10" t="str">
        <x:v>Evidence held</x:v>
      </x:c>
      <x:c r="E4" s="10" t="str">
        <x:v>Gap / impact</x:v>
      </x:c>
      <x:c r="F4" s="10" t="str">
        <x:v>Owner</x:v>
      </x:c>
      <x:c r="G4" s="10" t="str">
        <x:v>Evidence ID</x:v>
      </x:c>
      <x:c r="H4" s="10" t="str">
        <x:v>Reviewer role</x:v>
      </x:c>
      <x:c r="I4" s="10" t="str">
        <x:v>Review state</x:v>
      </x:c>
      <x:c r="J4" s="10" t="str">
        <x:v>Status</x:v>
      </x:c>
    </x:row>
    <x:row r="5" ht="64" customHeight="1">
      <x:c r="A5" s="16" t="str">
        <x:v>EV-01</x:v>
      </x:c>
      <x:c r="B5" s="16" t="str">
        <x:v>Lineage/source/manipulation record</x:v>
      </x:c>
      <x:c r="C5" s="16" t="str">
        <x:v>FICT-LINEAGE-001 Rev A</x:v>
      </x:c>
      <x:c r="D5" s="16" t="str">
        <x:v>Controlled fictional locator</x:v>
      </x:c>
      <x:c r="E5" s="16" t="str">
        <x:v>Early-history gap retained; no suitability conclusion</x:v>
      </x:c>
      <x:c r="F5" s="16" t="str">
        <x:v>Cell-line development</x:v>
      </x:c>
      <x:c r="G5" s="16" t="str">
        <x:v>FICT-LINEAGE-001</x:v>
      </x:c>
      <x:c r="H5" s="16" t="str">
        <x:v>Cell-line + quality</x:v>
      </x:c>
      <x:c r="I5" s="16" t="str">
        <x:v>Pending review</x:v>
      </x:c>
      <x:c r="J5" s="16" t="str">
        <x:f>IF(B5="","Incomplete",IF(G5="","Evidence required",IF(OR(H5="",I5&lt;&gt;"Accepted"),"Review required","Complete")))</x:f>
        <x:v>Review required</x:v>
      </x:c>
    </x:row>
    <x:row r="6" ht="64" customHeight="1">
      <x:c r="A6" s="16" t="str">
        <x:v>EV-02</x:v>
      </x:c>
      <x:c r="B6" s="16" t="str">
        <x:v>Expression-construct evidence map</x:v>
      </x:c>
      <x:c r="C6" s="16" t="str">
        <x:v>FICT-CONSTRUCT-001 Rev A</x:v>
      </x:c>
      <x:c r="D6" s="16" t="str">
        <x:v>Controlled fictional locator</x:v>
      </x:c>
      <x:c r="E6" s="16" t="str">
        <x:v>No construct-integrity or stability conclusion</x:v>
      </x:c>
      <x:c r="F6" s="16" t="str">
        <x:v>Molecular characterization</x:v>
      </x:c>
      <x:c r="G6" s="16" t="str">
        <x:v>FICT-CONSTRUCT-001</x:v>
      </x:c>
      <x:c r="H6" s="16" t="str">
        <x:v>Molecular + product quality</x:v>
      </x:c>
      <x:c r="I6" s="16" t="str">
        <x:v>Pending review</x:v>
      </x:c>
      <x:c r="J6" s="16" t="str">
        <x:f>IF(B6="","Incomplete",IF(G6="","Evidence required",IF(OR(H6="",I6&lt;&gt;"Accepted"),"Review required","Complete")))</x:f>
        <x:v>Review required</x:v>
      </x:c>
    </x:row>
    <x:row r="7" ht="64" customHeight="1">
      <x:c r="A7" s="16" t="str">
        <x:v>EV-03</x:v>
      </x:c>
      <x:c r="B7" s="16" t="str">
        <x:v>Cell-bank genealogy/inventory map</x:v>
      </x:c>
      <x:c r="C7" s="16" t="str">
        <x:v>FICT-BANK-001 Rev A</x:v>
      </x:c>
      <x:c r="D7" s="16" t="str">
        <x:v>Controlled fictional locator</x:v>
      </x:c>
      <x:c r="E7" s="16" t="str">
        <x:v>No bank release or authorized-use conclusion</x:v>
      </x:c>
      <x:c r="F7" s="16" t="str">
        <x:v>Bank custodian</x:v>
      </x:c>
      <x:c r="G7" s="16" t="str">
        <x:v>FICT-BANK-001</x:v>
      </x:c>
      <x:c r="H7" s="16" t="str">
        <x:v>Bank operations + quality</x:v>
      </x:c>
      <x:c r="I7" s="16" t="str">
        <x:v>Pending review</x:v>
      </x:c>
      <x:c r="J7" s="16" t="str">
        <x:f>IF(B7="","Incomplete",IF(G7="","Evidence required",IF(OR(H7="",I7&lt;&gt;"Accepted"),"Review required","Complete")))</x:f>
        <x:v>Review required</x:v>
      </x:c>
    </x:row>
    <x:row r="8" ht="64" customHeight="1">
      <x:c r="A8" s="16" t="str">
        <x:v>EV-04</x:v>
      </x:c>
      <x:c r="B8" s="16" t="str">
        <x:v>Clone-development decision history</x:v>
      </x:c>
      <x:c r="C8" s="16" t="str">
        <x:v>FICT-CLONE-001 Rev A</x:v>
      </x:c>
      <x:c r="D8" s="16" t="str">
        <x:v>Controlled fictional locator</x:v>
      </x:c>
      <x:c r="E8" s="16" t="str">
        <x:v>No best-clone or current-process conclusion</x:v>
      </x:c>
      <x:c r="F8" s="16" t="str">
        <x:v>Cell-line development</x:v>
      </x:c>
      <x:c r="G8" s="16" t="str">
        <x:v>FICT-CLONE-001</x:v>
      </x:c>
      <x:c r="H8" s="16" t="str">
        <x:v>Cell-line + process + product quality</x:v>
      </x:c>
      <x:c r="I8" s="16" t="str">
        <x:v>Pending review</x:v>
      </x:c>
      <x:c r="J8" s="16" t="str">
        <x:f>IF(B8="","Incomplete",IF(G8="","Evidence required",IF(OR(H8="",I8&lt;&gt;"Accepted"),"Review required","Complete")))</x:f>
        <x:v>Review required</x:v>
      </x:c>
    </x:row>
    <x:row r="9" ht="64" customHeight="1">
      <x:c r="A9" s="16" t="str">
        <x:v>EV-05</x:v>
      </x:c>
      <x:c r="B9" s="16" t="str">
        <x:v>Process/product evidence index</x:v>
      </x:c>
      <x:c r="C9" s="16" t="str">
        <x:v>FICT-PP-001 Rev A</x:v>
      </x:c>
      <x:c r="D9" s="16" t="str">
        <x:v>Controlled fictional locator</x:v>
      </x:c>
      <x:c r="E9" s="16" t="str">
        <x:v>No causality, comparability or batch conclusion</x:v>
      </x:c>
      <x:c r="F9" s="16" t="str">
        <x:v>Product quality</x:v>
      </x:c>
      <x:c r="G9" s="16" t="str">
        <x:v>FICT-PP-001</x:v>
      </x:c>
      <x:c r="H9" s="16" t="str">
        <x:v>Process + analytical + statistics</x:v>
      </x:c>
      <x:c r="I9" s="16" t="str">
        <x:v>Pending review</x:v>
      </x:c>
      <x:c r="J9" s="16" t="str">
        <x:f>IF(B9="","Incomplete",IF(G9="","Evidence required",IF(OR(H9="",I9&lt;&gt;"Accepted"),"Review required","Complete")))</x:f>
        <x:v>Review required</x:v>
      </x:c>
    </x:row>
    <x:row r="10" ht="64" customHeight="1">
      <x:c r="A10" s="16" t="str">
        <x:v>EV-06</x:v>
      </x:c>
      <x:c r="B10" s="16" t="str">
        <x:v>Replacement-bank manufacture/site package</x:v>
      </x:c>
      <x:c r="C10" s="16" t="str">
        <x:v>FICT-BM-001 Rev A</x:v>
      </x:c>
      <x:c r="D10" s="16" t="str">
        <x:v>Controlled fictional locator</x:v>
      </x:c>
      <x:c r="E10" s="16" t="str">
        <x:v>No execution, validation or bank release conclusion</x:v>
      </x:c>
      <x:c r="F10" s="16" t="str">
        <x:v>Bank manufacture lead</x:v>
      </x:c>
      <x:c r="G10" s="16" t="str">
        <x:v>FICT-BM-001</x:v>
      </x:c>
      <x:c r="H10" s="16" t="str">
        <x:v>Operations + validation + quality</x:v>
      </x:c>
      <x:c r="I10" s="16" t="str">
        <x:v>Pending review</x:v>
      </x:c>
      <x:c r="J10" s="16" t="str">
        <x:f>IF(B10="","Incomplete",IF(G10="","Evidence required",IF(OR(H10="",I10&lt;&gt;"Accepted"),"Review required","Complete")))</x:f>
        <x:v>Review required</x:v>
      </x:c>
    </x:row>
    <x:row r="11" ht="64" customHeight="1">
      <x:c r="A11" s="16" t="str">
        <x:v>EV-07</x:v>
      </x:c>
      <x:c r="B11" s="16" t="str">
        <x:v>Storage/inventory/shipment/use package</x:v>
      </x:c>
      <x:c r="C11" s="16" t="str">
        <x:v>FICT-CUSTODY-001 Rev A</x:v>
      </x:c>
      <x:c r="D11" s="16" t="str">
        <x:v>Controlled fictional locator</x:v>
      </x:c>
      <x:c r="E11" s="16" t="str">
        <x:v>No storage, excursion or use authorization</x:v>
      </x:c>
      <x:c r="F11" s="16" t="str">
        <x:v>Bank custodian</x:v>
      </x:c>
      <x:c r="G11" s="16" t="str">
        <x:v>FICT-CUSTODY-001</x:v>
      </x:c>
      <x:c r="H11" s="16" t="str">
        <x:v>Custody + engineering + quality</x:v>
      </x:c>
      <x:c r="I11" s="16" t="str">
        <x:v>Pending review</x:v>
      </x:c>
      <x:c r="J11" s="16" t="str">
        <x:f>IF(B11="","Incomplete",IF(G11="","Evidence required",IF(OR(H11="",I11&lt;&gt;"Accepted"),"Review required","Complete")))</x:f>
        <x:v>Review required</x:v>
      </x:c>
    </x:row>
    <x:row r="12" ht="64" customHeight="1">
      <x:c r="A12" s="16" t="str">
        <x:v>EV-08</x:v>
      </x:c>
      <x:c r="B12" s="16" t="str">
        <x:v>Characterization/viral-safety question map</x:v>
      </x:c>
      <x:c r="C12" s="16" t="str">
        <x:v>FICT-CHAR-001 Rev A</x:v>
      </x:c>
      <x:c r="D12" s="16" t="str">
        <x:v>Controlled fictional locator</x:v>
      </x:c>
      <x:c r="E12" s="16" t="str">
        <x:v>No characterization or viral-safety conclusion</x:v>
      </x:c>
      <x:c r="F12" s="16" t="str">
        <x:v>Characterization lead</x:v>
      </x:c>
      <x:c r="G12" s="16" t="str">
        <x:v>FICT-CHAR-001</x:v>
      </x:c>
      <x:c r="H12" s="16" t="str">
        <x:v>Cell characterization + viral safety + quality</x:v>
      </x:c>
      <x:c r="I12" s="16" t="str">
        <x:v>Pending review</x:v>
      </x:c>
      <x:c r="J12" s="16" t="str">
        <x:f>IF(B12="","Incomplete",IF(G12="","Evidence required",IF(OR(H12="",I12&lt;&gt;"Accepted"),"Review required","Complete")))</x:f>
        <x:v>Review required</x:v>
      </x:c>
    </x:row>
    <x:row r="13" ht="64" customHeight="1">
      <x:c r="A13" s="16" t="str">
        <x:v>EV-09</x:v>
      </x:c>
      <x:c r="B13" s="16" t="str">
        <x:v>Production-age stability evidence plan</x:v>
      </x:c>
      <x:c r="C13" s="16" t="str">
        <x:v>FICT-STAB-001 Rev A</x:v>
      </x:c>
      <x:c r="D13" s="16" t="str">
        <x:v>Controlled fictional locator</x:v>
      </x:c>
      <x:c r="E13" s="16" t="str">
        <x:v>No test plan, limit or stability conclusion</x:v>
      </x:c>
      <x:c r="F13" s="16" t="str">
        <x:v>Study owner</x:v>
      </x:c>
      <x:c r="G13" s="16" t="str">
        <x:v>FICT-STAB-001</x:v>
      </x:c>
      <x:c r="H13" s="16" t="str">
        <x:v>Cell-line + process + analytical + statistics</x:v>
      </x:c>
      <x:c r="I13" s="16" t="str">
        <x:v>Pending review</x:v>
      </x:c>
      <x:c r="J13" s="16" t="str">
        <x:f>IF(B13="","Incomplete",IF(G13="","Evidence required",IF(OR(H13="",I13&lt;&gt;"Accepted"),"Review required","Complete")))</x:f>
        <x:v>Review required</x:v>
      </x:c>
    </x:row>
    <x:row r="14" ht="64" customHeight="1">
      <x:c r="A14" s="16" t="str">
        <x:v>EV-10</x:v>
      </x:c>
      <x:c r="B14" s="16" t="str">
        <x:v>Change/comparability/use decision register</x:v>
      </x:c>
      <x:c r="C14" s="16" t="str">
        <x:v>FICT-CHANGE-001 Rev A</x:v>
      </x:c>
      <x:c r="D14" s="16" t="str">
        <x:v>Controlled fictional locator</x:v>
      </x:c>
      <x:c r="E14" s="16" t="str">
        <x:v>No comparability, filing, bank-use or batch conclusion</x:v>
      </x:c>
      <x:c r="F14" s="16" t="str">
        <x:v>Change owner</x:v>
      </x:c>
      <x:c r="G14" s="16" t="str">
        <x:v>FICT-CHANGE-001</x:v>
      </x:c>
      <x:c r="H14" s="16" t="str">
        <x:v>Quality + regulatory CMC</x:v>
      </x:c>
      <x:c r="I14" s="16" t="str">
        <x:v>Pending review</x:v>
      </x:c>
      <x:c r="J14" s="16" t="str">
        <x:f>IF(B14="","Incomplete",IF(G14="","Evidence required",IF(OR(H14="",I14&lt;&gt;"Accepted"),"Review required","Complete")))</x:f>
        <x:v>Review required</x:v>
      </x:c>
    </x:row>
  </x:sheetData>
  <x:mergeCells>
    <x:mergeCell ref="A1:J1"/>
    <x:mergeCell ref="A2:J2"/>
  </x:mergeCells>
  <x:conditionalFormatting sqref="J5:J14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Complete"/>
  </x:conditionalFormatting>
  <x:dataValidations count="1">
    <x:dataValidation type="list" sqref="I5:I14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35" hidden="0" customWidth="1"/>
    <x:col min="4" max="4" width="38" hidden="0" customWidth="1"/>
    <x:col min="5" max="5" width="14" hidden="0" customWidth="1"/>
    <x:col min="6" max="6" width="26" hidden="0" customWidth="1"/>
    <x:col min="7" max="7" width="18" hidden="0" customWidth="1"/>
    <x:col min="8" max="8" width="48" hidden="0" customWidth="1"/>
  </x:cols>
  <x:sheetData>
    <x:row r="1" ht="32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An action closes only with controlled evidence and an authorized decision.</x:v>
      </x:c>
      <x:c r="B2" s="6"/>
      <x:c r="C2" s="6"/>
      <x:c r="D2" s="6"/>
      <x:c r="E2" s="6"/>
      <x:c r="F2" s="6"/>
      <x:c r="G2" s="6"/>
      <x:c r="H2" s="6"/>
    </x:row>
    <x:row r="4" ht="31" customHeight="1">
      <x:c r="A4" s="10" t="str">
        <x:v>Action ID</x:v>
      </x:c>
      <x:c r="B4" s="10" t="str">
        <x:v>Action / decision</x:v>
      </x:c>
      <x:c r="C4" s="10" t="str">
        <x:v>Linked IDs</x:v>
      </x:c>
      <x:c r="D4" s="10" t="str">
        <x:v>Owner / reviewer</x:v>
      </x:c>
      <x:c r="E4" s="10" t="str">
        <x:v>Risk</x:v>
      </x:c>
      <x:c r="F4" s="10" t="str">
        <x:v>Due gate</x:v>
      </x:c>
      <x:c r="G4" s="10" t="str">
        <x:v>Status</x:v>
      </x:c>
      <x:c r="H4" s="10" t="str">
        <x:v>Closure evidence / acceptance</x:v>
      </x:c>
    </x:row>
    <x:row r="5" ht="61" customHeight="1">
      <x:c r="A5" s="16" t="str">
        <x:v>ACT-01</x:v>
      </x:c>
      <x:c r="B5" s="16" t="str">
        <x:v>Resolve lineage/manipulation gap and compensating evidence</x:v>
      </x:c>
      <x:c r="C5" s="16" t="str">
        <x:v>LC-01; LC-02; LC-06; CA-03</x:v>
      </x:c>
      <x:c r="D5" s="16" t="str">
        <x:v>Cell-line development + quality + regulatory</x:v>
      </x:c>
      <x:c r="E5" s="16" t="str">
        <x:v>High</x:v>
      </x:c>
      <x:c r="F5" s="16" t="str">
        <x:v>Before bank acceptance</x:v>
      </x:c>
      <x:c r="G5" s="16" t="str">
        <x:v>Open</x:v>
      </x:c>
      <x:c r="H5" s="16" t="str">
        <x:v>Qualified impact assessment and controlled evidence</x:v>
      </x:c>
    </x:row>
    <x:row r="6" ht="61" customHeight="1">
      <x:c r="A6" s="16" t="str">
        <x:v>ACT-02</x:v>
      </x:c>
      <x:c r="B6" s="16" t="str">
        <x:v>Close replacement-bank manufacture/site and custody evidence</x:v>
      </x:c>
      <x:c r="C6" s="16" t="str">
        <x:v>BH-03; BM-01 to BM-06</x:v>
      </x:c>
      <x:c r="D6" s="16" t="str">
        <x:v>Bank operations + validation + quality</x:v>
      </x:c>
      <x:c r="E6" s="16" t="str">
        <x:v>Critical</x:v>
      </x:c>
      <x:c r="F6" s="16" t="str">
        <x:v>Before bank release/use</x:v>
      </x:c>
      <x:c r="G6" s="16" t="str">
        <x:v>Open</x:v>
      </x:c>
      <x:c r="H6" s="16" t="str">
        <x:v>Approved execution, deviations, characterization and custody evidence</x:v>
      </x:c>
    </x:row>
    <x:row r="7" ht="61" customHeight="1">
      <x:c r="A7" s="16" t="str">
        <x:v>ACT-03</x:v>
      </x:c>
      <x:c r="B7" s="16" t="str">
        <x:v>Complete characterization and viral-safety strategy</x:v>
      </x:c>
      <x:c r="C7" s="16" t="str">
        <x:v>CH-01 to CH-06; EV-08</x:v>
      </x:c>
      <x:c r="D7" s="16" t="str">
        <x:v>Characterization + viral safety + quality</x:v>
      </x:c>
      <x:c r="E7" s="16" t="str">
        <x:v>Critical</x:v>
      </x:c>
      <x:c r="F7" s="16" t="str">
        <x:v>Before bank disposition</x:v>
      </x:c>
      <x:c r="G7" s="16" t="str">
        <x:v>Open</x:v>
      </x:c>
      <x:c r="H7" s="16" t="str">
        <x:v>Product/cell-specific qualified strategy and results</x:v>
      </x:c>
    </x:row>
    <x:row r="8" ht="61" customHeight="1">
      <x:c r="A8" s="16" t="str">
        <x:v>ACT-04</x:v>
      </x:c>
      <x:c r="B8" s="16" t="str">
        <x:v>Approve production-age and process/product evidence plan</x:v>
      </x:c>
      <x:c r="C8" s="16" t="str">
        <x:v>SA-01 to SA-06; CA-04</x:v>
      </x:c>
      <x:c r="D8" s="16" t="str">
        <x:v>Cell-line + process + analytical + statistics</x:v>
      </x:c>
      <x:c r="E8" s="16" t="str">
        <x:v>High</x:v>
      </x:c>
      <x:c r="F8" s="16" t="str">
        <x:v>Before comparability decision</x:v>
      </x:c>
      <x:c r="G8" s="16" t="str">
        <x:v>Open</x:v>
      </x:c>
      <x:c r="H8" s="16" t="str">
        <x:v>Controlled representative evidence and qualified interpretation</x:v>
      </x:c>
    </x:row>
    <x:row r="9" ht="61" customHeight="1">
      <x:c r="A9" s="16" t="str">
        <x:v>ACT-05</x:v>
      </x:c>
      <x:c r="B9" s="16" t="str">
        <x:v>Authorize comparability, filing, implementation and monitoring</x:v>
      </x:c>
      <x:c r="C9" s="16" t="str">
        <x:v>CA-01 to CA-06; EV-10</x:v>
      </x:c>
      <x:c r="D9" s="16" t="str">
        <x:v>Quality + regulatory CMC + manufacturing</x:v>
      </x:c>
      <x:c r="E9" s="16" t="str">
        <x:v>Critical</x:v>
      </x:c>
      <x:c r="F9" s="16" t="str">
        <x:v>Before manufacturing use</x:v>
      </x:c>
      <x:c r="G9" s="16" t="str">
        <x:v>Open</x:v>
      </x:c>
      <x:c r="H9" s="16" t="str">
        <x:v>Authorized decisions with exact scope and residual obligations</x:v>
      </x:c>
    </x:row>
  </x:sheetData>
  <x:mergeCells>
    <x:mergeCell ref="A1:H1"/>
    <x:mergeCell ref="A2:H2"/>
  </x:mergeCells>
  <x:conditionalFormatting sqref="G5:G9">
    <x:cfRule type="containsText" dxfId="32" priority="1" operator="containsText" text="Open"/>
  </x:conditionalFormatting>
  <x:dataValidations count="2">
    <x:dataValidation type="list" sqref="E5:E9">
      <x:formula1>"Low,Medium,High,Critical"</x:formula1>
    </x:dataValidation>
    <x:dataValidation type="list" sqref="G5:G9">
      <x:formula1>"Not started,Open,Closed,Deferred"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8" hidden="0" customWidth="1"/>
    <x:col min="4" max="4" width="18" hidden="0" customWidth="1"/>
    <x:col min="5" max="5" width="60" hidden="0" customWidth="1"/>
    <x:col min="6" max="6" width="62" hidden="0" customWidth="1"/>
  </x:cols>
  <x:sheetData>
    <x:row r="1" ht="32" customHeight="1">
      <x:c r="A1" s="3" t="str">
        <x:v>Sources &amp; Control</x:v>
      </x:c>
      <x:c r="B1" s="3"/>
      <x:c r="C1" s="3"/>
      <x:c r="D1" s="3"/>
      <x:c r="E1" s="3"/>
      <x:c r="F1" s="3"/>
    </x:row>
    <x:row r="2" ht="30" customHeight="1">
      <x:c r="A2" s="6" t="str">
        <x:v>Official-source locators, applicability, limitations and review record for this under-review package.</x:v>
      </x:c>
      <x:c r="B2" s="6"/>
      <x:c r="C2" s="6"/>
      <x:c r="D2" s="6"/>
      <x:c r="E2" s="6"/>
      <x:c r="F2" s="6"/>
    </x:row>
    <x:row r="4" ht="31" customHeight="1">
      <x:c r="A4" s="10" t="str">
        <x:v>Source ID</x:v>
      </x:c>
      <x:c r="B4" s="10" t="str">
        <x:v>Publisher</x:v>
      </x:c>
      <x:c r="C4" s="10" t="str">
        <x:v>Title</x:v>
      </x:c>
      <x:c r="D4" s="10" t="str">
        <x:v>Edition</x:v>
      </x:c>
      <x:c r="E4" s="10" t="str">
        <x:v>Official URL</x:v>
      </x:c>
      <x:c r="F4" s="10" t="str">
        <x:v>Applicability and limitations</x:v>
      </x:c>
    </x:row>
    <x:row r="5" ht="51" customHeight="1">
      <x:c r="A5" s="16" t="str">
        <x:v>ICH-Q5D</x:v>
      </x:c>
      <x:c r="B5" s="16" t="str">
        <x:v>ICH</x:v>
      </x:c>
      <x:c r="C5" s="16" t="str">
        <x:v>Derivation and Characterisation of Cell Substrates Q5D</x:v>
      </x:c>
      <x:c r="D5" s="16" t="str">
        <x:v>Step 4</x:v>
      </x:c>
      <x:c r="E5" s="16" t="str">
        <x:v>https://database.ich.org/sites/default/files/Q5D_Guideline.pdf</x:v>
      </x:c>
      <x:c r="F5" s="16" t="str">
        <x:v>No universal characterization panel, bank hierarchy, production-age limit, passage limit or acceptance criterion.</x:v>
      </x:c>
    </x:row>
    <x:row r="6" ht="51" customHeight="1">
      <x:c r="A6" s="16" t="str">
        <x:v>ICH-Q5B</x:v>
      </x:c>
      <x:c r="B6" s="16" t="str">
        <x:v>ICH</x:v>
      </x:c>
      <x:c r="C6" s="16" t="str">
        <x:v>Analysis of the Expression Construct in Cells Used for Production of r-DNA Derived Protein Products Q5B</x:v>
      </x:c>
      <x:c r="D6" s="16" t="str">
        <x:v>Step 4</x:v>
      </x:c>
      <x:c r="E6" s="16" t="str">
        <x:v>https://database.ich.org/sites/default/files/Q5B_Guideline.pdf</x:v>
      </x:c>
      <x:c r="F6" s="16" t="str">
        <x:v>Construct analysis is one evidence layer; it does not establish all cell, protein or product attributes.</x:v>
      </x:c>
    </x:row>
    <x:row r="7" ht="51" customHeight="1">
      <x:c r="A7" s="16" t="str">
        <x:v>ICH-Q5A-R2</x:v>
      </x:c>
      <x:c r="B7" s="16" t="str">
        <x:v>ICH</x:v>
      </x:c>
      <x:c r="C7" s="16" t="str">
        <x:v>Viral Safety Evaluation of Biotechnology Products Q5A(R2)</x:v>
      </x:c>
      <x:c r="D7" s="16" t="str">
        <x:v>Step 4</x:v>
      </x:c>
      <x:c r="E7" s="16" t="str">
        <x:v>https://database.ich.org/sites/default/files/ICH_Q5A%28R2%29_Guideline_2023_1101.pdf</x:v>
      </x:c>
      <x:c r="F7" s="16" t="str">
        <x:v>Apply within product/cell-substrate scope; no single-result viral-safety conclusion.</x:v>
      </x:c>
    </x:row>
    <x:row r="8" ht="51" customHeight="1">
      <x:c r="A8" s="16" t="str">
        <x:v>WHO-TRS-978-ANNEX3</x:v>
      </x:c>
      <x:c r="B8" s="16" t="str">
        <x:v>WHO</x:v>
      </x:c>
      <x:c r="C8" s="16" t="str">
        <x:v>Evaluation of animal cell cultures and characterization of cell banks</x:v>
      </x:c>
      <x:c r="D8" s="16" t="str">
        <x:v>TRS 978 Annex 3</x:v>
      </x:c>
      <x:c r="E8" s="16" t="str">
        <x:v>https://www.who.int/publications/m/item/animal-cell-culture-trs-no-978-annex3</x:v>
      </x:c>
      <x:c r="F8" s="16" t="str">
        <x:v>Confirm cell type, product and national applicability; no universal tests or limits.</x:v>
      </x:c>
    </x:row>
    <x:row r="9" ht="51" customHeight="1">
      <x:c r="A9" s="16" t="str">
        <x:v>ICH-Q5E</x:v>
      </x:c>
      <x:c r="B9" s="16" t="str">
        <x:v>ICH</x:v>
      </x:c>
      <x:c r="C9" s="16" t="str">
        <x:v>Comparability of Biotechnological/Biological Products Q5E</x:v>
      </x:c>
      <x:c r="D9" s="16" t="str">
        <x:v>Step 4</x:v>
      </x:c>
      <x:c r="E9" s="16" t="str">
        <x:v>https://database.ich.org/sites/default/files/Q5E%20Guideline.pdf</x:v>
      </x:c>
      <x:c r="F9" s="16" t="str">
        <x:v>Identity or release conformance is not a complete product-comparability conclusion.</x:v>
      </x:c>
    </x:row>
    <x:row r="10" ht="51" customHeight="1">
      <x:c r="A10" s="16" t="str">
        <x:v>ICH-Q6B</x:v>
      </x:c>
      <x:c r="B10" s="16" t="str">
        <x:v>ICH</x:v>
      </x:c>
      <x:c r="C10" s="16" t="str">
        <x:v>Specifications for Biotechnological/Biological Products Q6B</x:v>
      </x:c>
      <x:c r="D10" s="16" t="str">
        <x:v>Step 4</x:v>
      </x:c>
      <x:c r="E10" s="16" t="str">
        <x:v>https://database.ich.org/sites/default/files/Q6B_Guideline.pdf</x:v>
      </x:c>
      <x:c r="F10" s="16" t="str">
        <x:v>Specifications are a selected subset and do not replace characterization.</x:v>
      </x:c>
    </x:row>
    <x:row r="11" ht="51" customHeight="1">
      <x:c r="A11" s="16" t="str">
        <x:v>ICH-Q9-R1</x:v>
      </x:c>
      <x:c r="B11" s="16" t="str">
        <x:v>ICH</x:v>
      </x:c>
      <x:c r="C11" s="16" t="str">
        <x:v>Quality Risk Management Q9(R1)</x:v>
      </x:c>
      <x:c r="D11" s="16" t="str">
        <x:v>Step 4</x:v>
      </x:c>
      <x:c r="E11" s="16" t="str">
        <x:v>https://database.ich.org/sites/default/files/ICH_Q9-R1_Guideline_Step4_2022_1219.pdf</x:v>
      </x:c>
      <x:c r="F11" s="16" t="str">
        <x:v>Risk ranking does not create missing evidence or authorization.</x:v>
      </x:c>
    </x:row>
    <x:row r="12" ht="51" customHeight="1">
      <x:c r="A12" s="16" t="str">
        <x:v>ICH-Q10</x:v>
      </x:c>
      <x:c r="B12" s="16" t="str">
        <x:v>ICH</x:v>
      </x:c>
      <x:c r="C12" s="16" t="str">
        <x:v>Pharmaceutical Quality System Q10</x:v>
      </x:c>
      <x:c r="D12" s="16" t="str">
        <x:v>Step 4</x:v>
      </x:c>
      <x:c r="E12" s="16" t="str">
        <x:v>https://database.ich.org/sites/default/files/Q10_Guideline.pdf</x:v>
      </x:c>
      <x:c r="F12" s="16" t="str">
        <x:v>PQS/change governance does not release a bank or approve product comparability.</x:v>
      </x:c>
    </x:row>
    <x:row r="13" ht="51" customHeight="1">
      <x:c r="A13" s="16"/>
      <x:c r="B13" s="16"/>
      <x:c r="C13" s="16"/>
      <x:c r="D13" s="16"/>
      <x:c r="E13" s="16"/>
      <x:c r="F13" s="16"/>
    </x:row>
    <x:row r="14" ht="51" customHeight="1">
      <x:c r="A14" s="16"/>
      <x:c r="B14" s="16"/>
      <x:c r="C14" s="16"/>
      <x:c r="D14" s="16"/>
      <x:c r="E14" s="16"/>
      <x:c r="F14" s="16"/>
    </x:row>
    <x:row r="15" ht="51" customHeight="1">
      <x:c r="A15" s="21" t="str">
        <x:v>Control field</x:v>
      </x:c>
      <x:c r="B15" s="21" t="str">
        <x:v>Value</x:v>
      </x:c>
      <x:c r="C15" s="16"/>
      <x:c r="D15" s="16"/>
      <x:c r="E15" s="16"/>
      <x:c r="F15" s="16"/>
    </x:row>
    <x:row r="16" ht="51" customHeight="1">
      <x:c r="A16" s="16" t="str">
        <x:v>Content version</x:v>
      </x:c>
      <x:c r="B16" s="16" t="str">
        <x:v>1.0.0-review</x:v>
      </x:c>
      <x:c r="C16" s="16"/>
      <x:c r="D16" s="16"/>
      <x:c r="E16" s="16"/>
      <x:c r="F16" s="16"/>
    </x:row>
    <x:row r="17" ht="51" customHeight="1">
      <x:c r="A17" s="16" t="str">
        <x:v>Review status</x:v>
      </x:c>
      <x:c r="B17" s="16" t="str">
        <x:v>under-review</x:v>
      </x:c>
      <x:c r="C17" s="16"/>
      <x:c r="D17" s="16"/>
      <x:c r="E17" s="16"/>
      <x:c r="F17" s="16"/>
    </x:row>
    <x:row r="18" ht="51" customHeight="1">
      <x:c r="A18" s="16" t="str">
        <x:v>Reviewed by role</x:v>
      </x:c>
      <x:c r="B18" s="16" t="str">
        <x:v>Not yet recorded</x:v>
      </x:c>
      <x:c r="C18" s="16"/>
      <x:c r="D18" s="16"/>
      <x:c r="E18" s="16"/>
      <x:c r="F18" s="16"/>
    </x:row>
    <x:row r="19" ht="51" customHeight="1">
      <x:c r="A19" s="16" t="str">
        <x:v>Last reviewed</x:v>
      </x:c>
      <x:c r="B19" s="16" t="str">
        <x:v>Not yet recorded</x:v>
      </x:c>
      <x:c r="C19" s="16"/>
      <x:c r="D19" s="16"/>
      <x:c r="E19" s="16"/>
      <x:c r="F19" s="16"/>
    </x:row>
    <x:row r="20" ht="51" customHeight="1">
      <x:c r="A20" s="16" t="str">
        <x:v>Review due</x:v>
      </x:c>
      <x:c r="B20" s="16" t="str">
        <x:v>Before controlled use or after cell-substrate/process/source change</x:v>
      </x:c>
      <x:c r="C20" s="16"/>
      <x:c r="D20" s="16"/>
      <x:c r="E20" s="16"/>
      <x:c r="F20" s="16"/>
    </x:row>
    <x:row r="21" ht="51" customHeight="1">
      <x:c r="A21" s="16" t="str">
        <x:v>Decision boundary</x:v>
      </x:c>
      <x:c r="B21" s="16" t="str">
        <x:v>Workbook completeness is not bank release, authorized use, comparability, regulatory or batch approval.</x:v>
      </x:c>
      <x:c r="C21" s="16"/>
      <x:c r="D21" s="16"/>
      <x:c r="E21" s="16"/>
      <x:c r="F21" s="16"/>
    </x:row>
    <x:row r="22" ht="51" customHeight="1">
      <x:c r="A22" s="16" t="str">
        <x:v>Critical limitation</x:v>
      </x:c>
      <x:c r="B22" s="16" t="str">
        <x:v>An intact coding sequence does not by itself establish cell-substrate stability or unchanged product quality.</x:v>
      </x:c>
      <x:c r="C22" s="16"/>
      <x:c r="D22" s="16"/>
      <x:c r="E22" s="16"/>
      <x:c r="F22" s="16"/>
    </x:row>
    <x:row r="23" ht="51" customHeight="1">
      <x:c r="A23" s="16" t="str">
        <x:v>Critical limitation</x:v>
      </x:c>
      <x:c r="B23" s="16" t="str">
        <x:v>Bank manufacture completion is not bank release or authorization to use.</x:v>
      </x:c>
      <x:c r="C23" s="16"/>
      <x:c r="D23" s="16"/>
      <x:c r="E23" s="16"/>
      <x:c r="F23" s="16"/>
    </x:row>
  </x:sheetData>
  <x:mergeCells>
    <x:mergeCell ref="A1:F1"/>
    <x:mergeCell ref="A2:F2"/>
  </x:mergeCells>
  <x:pageMargins left="0.7" right="0.7" top="0.75" bottom="0.75" header="0.3" footer="0.3"/>
</x:worksheet>
</file>