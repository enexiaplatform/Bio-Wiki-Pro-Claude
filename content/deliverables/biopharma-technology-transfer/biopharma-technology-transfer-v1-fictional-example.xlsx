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a959ce064343f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ick Start" sheetId="1" r:id="Rf34217a38647467e"/>
    <x:sheet xmlns:r="http://schemas.openxmlformats.org/officeDocument/2006/relationships" name="Decision Brief" sheetId="2" r:id="R5659313bdf85417b"/>
    <x:sheet xmlns:r="http://schemas.openxmlformats.org/officeDocument/2006/relationships" name="Scope &amp; Governance" sheetId="3" r:id="R8602bc6230af438c"/>
    <x:sheet xmlns:r="http://schemas.openxmlformats.org/officeDocument/2006/relationships" name="Knowledge Package" sheetId="4" r:id="R11828ec937c74107"/>
    <x:sheet xmlns:r="http://schemas.openxmlformats.org/officeDocument/2006/relationships" name="Facility &amp; Equipment" sheetId="5" r:id="Rb44a4a6008934238"/>
    <x:sheet xmlns:r="http://schemas.openxmlformats.org/officeDocument/2006/relationships" name="Process &amp; Materials" sheetId="6" r:id="Ra5b575e028db461b"/>
    <x:sheet xmlns:r="http://schemas.openxmlformats.org/officeDocument/2006/relationships" name="Analytical Transfer" sheetId="7" r:id="R1e5d44128ea649cc"/>
    <x:sheet xmlns:r="http://schemas.openxmlformats.org/officeDocument/2006/relationships" name="Validation &amp; Commitments" sheetId="8" r:id="R3a328ca57b2e4e03"/>
    <x:sheet xmlns:r="http://schemas.openxmlformats.org/officeDocument/2006/relationships" name="Evidence Register" sheetId="9" r:id="Rb3244b45297d4418"/>
    <x:sheet xmlns:r="http://schemas.openxmlformats.org/officeDocument/2006/relationships" name="Review &amp; Actions" sheetId="10" r:id="R902fca3ac1864679"/>
    <x:sheet xmlns:r="http://schemas.openxmlformats.org/officeDocument/2006/relationships" name="Sources &amp; Control" sheetId="11" r:id="R2a3489cdd1f24585"/>
    <x:sheet xmlns:r="http://schemas.openxmlformats.org/officeDocument/2006/relationships" name="Lists" sheetId="12" r:id="R22fe31cc3c7a4be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9">
    <x:font>
      <x:sz val="11"/>
      <x:name val="Carlito"/>
    </x:font>
    <x:font>
      <x:b/>
      <x:sz val="18"/>
      <x:color rgb="FFFFFFFF"/>
      <x:name val="Carlito"/>
    </x:font>
    <x:font>
      <x:i/>
      <x:sz val="10"/>
      <x:color rgb="FF526175"/>
      <x:name val="Carlito"/>
    </x:font>
    <x:font>
      <x:sz val="10"/>
      <x:color rgb="FF172033"/>
      <x:name val="Carlito"/>
    </x:font>
    <x:font>
      <x:b/>
      <x:sz val="10"/>
      <x:color rgb="FFFFFFFF"/>
      <x:name val="Carlito"/>
    </x:font>
    <x:font>
      <x:b/>
      <x:sz val="11"/>
      <x:color rgb="FF7A4A00"/>
      <x:name val="Carlito"/>
    </x:font>
    <x:font>
      <x:b/>
      <x:sz val="11"/>
      <x:color rgb="FF7B2020"/>
      <x:name val="Carlito"/>
    </x:font>
    <x:font>
      <x:b/>
      <x:sz val="11"/>
      <x:color rgb="FFFFFFFF"/>
      <x:name val="Carlito"/>
    </x:font>
    <x:font>
      <x:b/>
      <x:sz val="11"/>
      <x:color rgb="FF12253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2253F"/>
      </x:patternFill>
    </x:fill>
    <x:fill>
      <x:patternFill patternType="solid">
        <x:fgColor rgb="FFEDF4FA"/>
      </x:patternFill>
    </x:fill>
    <x:fill>
      <x:patternFill patternType="solid">
        <x:fgColor rgb="FF1E4E79"/>
      </x:patternFill>
    </x:fill>
    <x:fill>
      <x:patternFill patternType="solid">
        <x:fgColor rgb="FFFFF1D6"/>
      </x:patternFill>
    </x:fill>
    <x:fill>
      <x:patternFill patternType="solid">
        <x:fgColor rgb="FFFBE7E7"/>
      </x:patternFill>
    </x:fill>
    <x:fill>
      <x:patternFill patternType="solid">
        <x:fgColor rgb="FF167D78"/>
      </x:patternFill>
    </x:fill>
    <x:fill>
      <x:patternFill patternType="solid">
        <x:fgColor rgb="FFE8F3F2"/>
      </x:patternFill>
    </x:fill>
  </x:fills>
  <x:borders count="11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bottom style="medium">
        <x:color rgb="FF12253F"/>
      </x:bottom>
    </x:border>
    <x:border>
      <x:left style="thin">
        <x:color rgb="FFCBD5E1"/>
      </x:left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2" xfId="0" applyNumberFormat="1" applyFont="1" applyFill="1" applyBorder="1"/>
    <x:xf numFmtId="0" fontId="3" fillId="0" borderId="3" xfId="0" applyNumberFormat="1" applyFont="1" applyFill="1" applyBorder="1"/>
    <x:xf numFmtId="0" fontId="3" fillId="0" borderId="1" xfId="0" applyNumberFormat="1" applyFont="1" applyFill="1" applyBorder="1" applyAlignment="1">
      <x:alignment wrapText="1"/>
    </x:xf>
    <x:xf numFmtId="0" fontId="3" fillId="0" borderId="2" xfId="0" applyNumberFormat="1" applyFont="1" applyFill="1" applyBorder="1" applyAlignment="1">
      <x:alignment wrapText="1"/>
    </x:xf>
    <x:xf numFmtId="0" fontId="3" fillId="0" borderId="3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0" borderId="2" xfId="0" applyNumberFormat="1" applyFont="1" applyFill="1" applyBorder="1" applyAlignment="1">
      <x:alignment vertical="top" wrapText="1"/>
    </x:xf>
    <x:xf numFmtId="0" fontId="3" fillId="0" borderId="3" xfId="0" applyNumberFormat="1" applyFont="1" applyFill="1" applyBorder="1" applyAlignment="1">
      <x:alignment vertical="top" wrapText="1"/>
    </x:xf>
    <x:xf numFmtId="0" fontId="3" fillId="4" borderId="1" xfId="0" applyNumberFormat="1" applyFont="1" applyFill="1" applyBorder="1" applyAlignment="1">
      <x:alignment vertical="top" wrapText="1"/>
    </x:xf>
    <x:xf numFmtId="0" fontId="4" fillId="4" borderId="1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top" wrapText="1"/>
    </x:xf>
    <x:xf numFmtId="0" fontId="4" fillId="4" borderId="4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7" fillId="4" borderId="0" xfId="0" applyNumberFormat="1" applyFont="1" applyFill="1" applyBorder="1"/>
    <x:xf numFmtId="0" fontId="8" fillId="3" borderId="0" xfId="0" applyNumberFormat="1" applyFont="1" applyFill="1" applyBorder="1"/>
    <x:xf numFmtId="0" fontId="7" fillId="4" borderId="0" xfId="0" applyNumberFormat="1" applyFont="1" applyFill="1" applyBorder="1" applyAlignment="1">
      <x:alignment wrapText="1"/>
    </x:xf>
    <x:xf numFmtId="0" fontId="8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7" fillId="7" borderId="0" xfId="0" applyNumberFormat="1" applyFont="1" applyFill="1" applyBorder="1"/>
    <x:xf numFmtId="0" fontId="0" fillId="8" borderId="0" xfId="0" applyNumberFormat="1" applyFont="1" applyFill="1" applyBorder="1"/>
    <x:xf numFmtId="0" fontId="8" fillId="8" borderId="0" xfId="0" applyNumberFormat="1" applyFont="1" applyFill="1" applyBorder="1"/>
    <x:xf numFmtId="0" fontId="7" fillId="7" borderId="5" xfId="0" applyNumberFormat="1" applyFont="1" applyFill="1" applyBorder="1"/>
    <x:xf numFmtId="0" fontId="7" fillId="7" borderId="6" xfId="0" applyNumberFormat="1" applyFont="1" applyFill="1" applyBorder="1"/>
    <x:xf numFmtId="0" fontId="8" fillId="8" borderId="7" xfId="0" applyNumberFormat="1" applyFont="1" applyFill="1" applyBorder="1"/>
    <x:xf numFmtId="0" fontId="0" fillId="0" borderId="8" xfId="0" applyNumberFormat="1" applyFont="1" applyFill="1" applyBorder="1"/>
    <x:xf numFmtId="0" fontId="8" fillId="8" borderId="9" xfId="0" applyNumberFormat="1" applyFont="1" applyFill="1" applyBorder="1"/>
    <x:xf numFmtId="0" fontId="0" fillId="0" borderId="10" xfId="0" applyNumberFormat="1" applyFont="1" applyFill="1" applyBorder="1"/>
    <x:xf numFmtId="200" fontId="0" fillId="0" borderId="8" xfId="0" applyNumberFormat="1" applyFont="1" applyFill="1" applyBorder="1"/>
    <x:xf numFmtId="0" fontId="0" fillId="5" borderId="10" xfId="0" applyNumberFormat="1" applyFont="1" applyFill="1" applyBorder="1"/>
    <x:xf numFmtId="0" fontId="5" fillId="5" borderId="10" xfId="0" applyNumberFormat="1" applyFont="1" applyFill="1" applyBorder="1"/>
  </x:cellXfs>
  <x:cellStyles count="1">
    <x:cellStyle name="Normal" xfId="0"/>
  </x:cellStyles>
  <x:dxfs count="30">
    <x:dxf>
      <x:font>
        <x:b/>
        <x:color rgb="FF8A1C1C"/>
      </x:font>
      <x:fill>
        <x:patternFill patternType="solid">
          <x:bgColor rgb="FFFBE7E7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7F4EA"/>
        </x:patternFill>
      </x:fill>
    </x:dxf>
    <x:dxf>
      <x:font>
        <x:b/>
        <x:color rgb="FF8A1C1C"/>
      </x:font>
      <x:fill>
        <x:patternFill patternType="solid">
          <x:bgColor rgb="FFFBE7E7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7F4EA"/>
        </x:patternFill>
      </x:fill>
    </x:dxf>
    <x:dxf>
      <x:font>
        <x:b/>
        <x:color rgb="FF8A1C1C"/>
      </x:font>
      <x:fill>
        <x:patternFill patternType="solid">
          <x:bgColor rgb="FFFBE7E7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7F4EA"/>
        </x:patternFill>
      </x:fill>
    </x:dxf>
    <x:dxf>
      <x:font>
        <x:b/>
        <x:color rgb="FF8A1C1C"/>
      </x:font>
      <x:fill>
        <x:patternFill patternType="solid">
          <x:bgColor rgb="FFFBE7E7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7F4EA"/>
        </x:patternFill>
      </x:fill>
    </x:dxf>
    <x:dxf>
      <x:font>
        <x:b/>
        <x:color rgb="FF8A1C1C"/>
      </x:font>
      <x:fill>
        <x:patternFill patternType="solid">
          <x:bgColor rgb="FFFBE7E7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7F4EA"/>
        </x:patternFill>
      </x:fill>
    </x:dxf>
    <x:dxf>
      <x:font>
        <x:b/>
        <x:color rgb="FF8A1C1C"/>
      </x:font>
      <x:fill>
        <x:patternFill patternType="solid">
          <x:bgColor rgb="FFFBE7E7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7F4EA"/>
        </x:patternFill>
      </x:fill>
    </x:dxf>
    <x:dxf>
      <x:font>
        <x:b/>
        <x:color rgb="FF8A1C1C"/>
      </x:font>
      <x:fill>
        <x:patternFill patternType="solid">
          <x:bgColor rgb="FFFBE7E7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7A4A00"/>
      </x:font>
      <x:fill>
        <x:patternFill patternType="solid">
          <x:bgColor rgb="FFFFF1D6"/>
        </x:patternFill>
      </x:fill>
    </x:dxf>
    <x:dxf>
      <x:font>
        <x:b/>
        <x:color rgb="FF17612C"/>
      </x:font>
      <x:fill>
        <x:patternFill patternType="solid">
          <x:bgColor rgb="FFE7F4EA"/>
        </x:patternFill>
      </x:fill>
    </x:dxf>
    <x:dxf>
      <x:font>
        <x:b/>
        <x:color rgb="FF8A1C1C"/>
      </x:font>
      <x:fill>
        <x:patternFill patternType="solid">
          <x:bgColor rgb="FFFBE7E7"/>
        </x:patternFill>
      </x:fill>
    </x:dxf>
    <x:dxf>
      <x:font>
        <x:b/>
        <x:color rgb="FF17612C"/>
      </x:font>
      <x:fill>
        <x:patternFill patternType="solid">
          <x:bgColor rgb="FFE7F4EA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6f3aedf82d54abc" /><Relationship Type="http://schemas.openxmlformats.org/officeDocument/2006/relationships/theme" Target="/xl/theme/theme1.xml" Id="Rbf37a65608ed4e26" /><Relationship Type="http://schemas.openxmlformats.org/officeDocument/2006/relationships/sharedStrings" Target="/xl/sharedStrings.xml" Id="Rc30ae8a2a19c46b5" /><Relationship Type="http://schemas.openxmlformats.org/officeDocument/2006/relationships/worksheet" Target="/xl/worksheets/sheet1.xml" Id="Rf34217a38647467e" /><Relationship Type="http://schemas.openxmlformats.org/officeDocument/2006/relationships/worksheet" Target="/xl/worksheets/sheet2.xml" Id="R5659313bdf85417b" /><Relationship Type="http://schemas.openxmlformats.org/officeDocument/2006/relationships/worksheet" Target="/xl/worksheets/sheet3.xml" Id="R8602bc6230af438c" /><Relationship Type="http://schemas.openxmlformats.org/officeDocument/2006/relationships/worksheet" Target="/xl/worksheets/sheet4.xml" Id="R11828ec937c74107" /><Relationship Type="http://schemas.openxmlformats.org/officeDocument/2006/relationships/worksheet" Target="/xl/worksheets/sheet5.xml" Id="Rb44a4a6008934238" /><Relationship Type="http://schemas.openxmlformats.org/officeDocument/2006/relationships/worksheet" Target="/xl/worksheets/sheet6.xml" Id="Ra5b575e028db461b" /><Relationship Type="http://schemas.openxmlformats.org/officeDocument/2006/relationships/worksheet" Target="/xl/worksheets/sheet7.xml" Id="R1e5d44128ea649cc" /><Relationship Type="http://schemas.openxmlformats.org/officeDocument/2006/relationships/worksheet" Target="/xl/worksheets/sheet8.xml" Id="R3a328ca57b2e4e03" /><Relationship Type="http://schemas.openxmlformats.org/officeDocument/2006/relationships/worksheet" Target="/xl/worksheets/sheet9.xml" Id="Rb3244b45297d4418" /><Relationship Type="http://schemas.openxmlformats.org/officeDocument/2006/relationships/worksheet" Target="/xl/worksheets/sheet10.xml" Id="R902fca3ac1864679" /><Relationship Type="http://schemas.openxmlformats.org/officeDocument/2006/relationships/worksheet" Target="/xl/worksheets/sheet11.xml" Id="R2a3489cdd1f24585" /><Relationship Type="http://schemas.openxmlformats.org/officeDocument/2006/relationships/worksheet" Target="/xl/worksheets/sheet12.xml" Id="R22fe31cc3c7a4be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23" hidden="0" customWidth="1"/>
    <x:col min="3" max="3" width="65" hidden="0" customWidth="1"/>
    <x:col min="4" max="4" width="26" hidden="0" customWidth="1"/>
  </x:cols>
  <x:sheetData>
    <x:row r="1" ht="32" customHeight="1">
      <x:c r="A1" s="3" t="str">
        <x:v>Biopharma Technology Transfer Evidence Map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Version 1.0.0-review • Fictional worked example</x:v>
      </x:c>
      <x:c r="B2" s="7"/>
      <x:c r="C2" s="7"/>
      <x:c r="D2" s="7"/>
      <x:c r="E2" s="7"/>
      <x:c r="F2" s="7"/>
      <x:c r="G2" s="7"/>
      <x:c r="H2" s="7"/>
    </x:row>
    <x:row r="4" ht="30" customHeight="1">
      <x:c r="A4" s="21" t="str">
        <x:v>Step</x:v>
      </x:c>
      <x:c r="B4" s="21" t="str">
        <x:v>Activity</x:v>
      </x:c>
      <x:c r="C4" s="21" t="str">
        <x:v>Decision-quality instruction</x:v>
      </x:c>
      <x:c r="D4" s="21" t="str">
        <x:v>Working sheet</x:v>
      </x:c>
    </x:row>
    <x:row r="5">
      <x:c r="A5" s="16" t="str">
        <x:v>1</x:v>
      </x:c>
      <x:c r="B5" s="16" t="str">
        <x:v>Freeze the charter</x:v>
      </x:c>
      <x:c r="C5" s="16" t="str">
        <x:v>One product/process/method version, sending and receiving units, lifecycle stage, markets, in/out scope, owner and authority.</x:v>
      </x:c>
      <x:c r="D5" s="16" t="str">
        <x:v>Scope &amp; Governance</x:v>
      </x:c>
    </x:row>
    <x:row r="6">
      <x:c r="A6" s="16" t="str">
        <x:v>2</x:v>
      </x:c>
      <x:c r="B6" s="16" t="str">
        <x:v>Map decision knowledge</x:v>
      </x:c>
      <x:c r="C6" s="16" t="str">
        <x:v>Link controlled knowledge to receiving-unit use, version, limitation, demonstration evidence and owner.</x:v>
      </x:c>
      <x:c r="D6" s="16" t="str">
        <x:v>Knowledge Package</x:v>
      </x:c>
    </x:row>
    <x:row r="7">
      <x:c r="A7" s="16" t="str">
        <x:v>3</x:v>
      </x:c>
      <x:c r="B7" s="16" t="str">
        <x:v>Assess functional fit</x:v>
      </x:c>
      <x:c r="C7" s="16" t="str">
        <x:v>Compare facility, equipment, utility, automation and data capability by function and product/process impact.</x:v>
      </x:c>
      <x:c r="D7" s="16" t="str">
        <x:v>Facility &amp; Equipment</x:v>
      </x:c>
    </x:row>
    <x:row r="8">
      <x:c r="A8" s="16" t="str">
        <x:v>4</x:v>
      </x:c>
      <x:c r="B8" s="16" t="str">
        <x:v>Preserve product-process-material lineage</x:v>
      </x:c>
      <x:c r="C8" s="16" t="str">
        <x:v>Trace materials, unit operations, inputs, controls, outputs, attributes, differences and open evidence.</x:v>
      </x:c>
      <x:c r="D8" s="16" t="str">
        <x:v>Process &amp; Materials</x:v>
      </x:c>
    </x:row>
    <x:row r="9">
      <x:c r="A9" s="16" t="str">
        <x:v>5</x:v>
      </x:c>
      <x:c r="B9" s="16" t="str">
        <x:v>Transfer analytical capability</x:v>
      </x:c>
      <x:c r="C9" s="16" t="str">
        <x:v>Keep method purpose, sample, reference, reagent, instrument, software, reportability, validation and QC readiness distinct.</x:v>
      </x:c>
      <x:c r="D9" s="16" t="str">
        <x:v>Analytical Transfer</x:v>
      </x:c>
    </x:row>
    <x:row r="10">
      <x:c r="A10" s="16" t="str">
        <x:v>6</x:v>
      </x:c>
      <x:c r="B10" s="16" t="str">
        <x:v>Reconcile distinct gates</x:v>
      </x:c>
      <x:c r="C10" s="16" t="str">
        <x:v>Comparability, qualification, validation, stability, regulatory implementation and routine readiness are separate decisions.</x:v>
      </x:c>
      <x:c r="D10" s="16" t="str">
        <x:v>Validation &amp; Commitments</x:v>
      </x:c>
    </x:row>
    <x:row r="11">
      <x:c r="A11" s="17" t="str">
        <x:v>7</x:v>
      </x:c>
      <x:c r="B11" s="17" t="str">
        <x:v>Control evidence and actions</x:v>
      </x:c>
      <x:c r="C11" s="17" t="str">
        <x:v>Every decision claim needs a locator, version, limitation, owner, review state and residual action.</x:v>
      </x:c>
      <x:c r="D11" s="17" t="str">
        <x:v>Evidence Register / Review &amp; Actions</x:v>
      </x:c>
    </x:row>
    <x:row r="13">
      <x:c r="A13" s="23" t="str">
        <x:v>Fail-closed boundary</x:v>
      </x:c>
      <x:c r="B13" s="23"/>
      <x:c r="C13" s="23"/>
      <x:c r="D13" s="23"/>
    </x:row>
    <x:row r="14" ht="28" customHeight="1">
      <x:c r="A14" s="26" t="str">
        <x:v>Protocol completion is not successful transfer.</x:v>
      </x:c>
      <x:c r="B14" s="26"/>
      <x:c r="C14" s="26"/>
      <x:c r="D14" s="26"/>
    </x:row>
    <x:row r="15" ht="28" customHeight="1">
      <x:c r="A15" s="26" t="str">
        <x:v>Engineering or qualification success is not regulatory approval or routine readiness.</x:v>
      </x:c>
      <x:c r="B15" s="26"/>
      <x:c r="C15" s="26"/>
      <x:c r="D15" s="26"/>
    </x:row>
    <x:row r="16" ht="28" customHeight="1">
      <x:c r="A16" s="26" t="str">
        <x:v>Equipment similarity, training completion, method validation or release conformance cannot substitute for the missing decision evidence.</x:v>
      </x:c>
      <x:c r="B16" s="26"/>
      <x:c r="C16" s="26"/>
      <x:c r="D16" s="26"/>
    </x:row>
    <x:row r="17" ht="28" customHeight="1">
      <x:c r="A17" s="26" t="str">
        <x:v>This workbook can reach Qualified review required, never automatic approval.</x:v>
      </x:c>
      <x:c r="B17" s="26"/>
      <x:c r="C17" s="26"/>
      <x:c r="D17" s="26"/>
    </x:row>
  </x:sheetData>
  <x:mergeCells>
    <x:mergeCell ref="A1:H1"/>
    <x:mergeCell ref="A2:H2"/>
    <x:mergeCell ref="A13:D13"/>
    <x:mergeCell ref="A14:D14"/>
    <x:mergeCell ref="A15:D15"/>
    <x:mergeCell ref="A16:D16"/>
    <x:mergeCell ref="A17:D17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72" hidden="0" customWidth="1"/>
    <x:col min="4" max="4" width="26" hidden="0" customWidth="1"/>
    <x:col min="5" max="5" width="28" hidden="0" customWidth="1"/>
  </x:cols>
  <x:sheetData>
    <x:row r="1" ht="32" customHeight="1">
      <x:c r="A1" s="3" t="str">
        <x:v>Decision Brief</x:v>
      </x:c>
      <x:c r="B1" s="3"/>
      <x:c r="C1" s="3"/>
      <x:c r="D1" s="3"/>
      <x:c r="E1" s="3"/>
      <x:c r="F1" s="3"/>
    </x:row>
    <x:row r="2" ht="32" customHeight="1">
      <x:c r="A2" s="7" t="str">
        <x:v>One bounded transfer decision; summary is formula-driven from the working registers.</x:v>
      </x:c>
      <x:c r="B2" s="7"/>
      <x:c r="C2" s="7"/>
      <x:c r="D2" s="7"/>
      <x:c r="E2" s="7"/>
      <x:c r="F2" s="7"/>
    </x:row>
    <x:row r="4">
      <x:c r="A4" s="30" t="str">
        <x:v>Field</x:v>
      </x:c>
      <x:c r="B4" s="30" t="str">
        <x:v>Controlled value</x:v>
      </x:c>
      <x:c r="D4" s="37" t="str">
        <x:v>Formula-backed control</x:v>
      </x:c>
      <x:c r="E4" s="38" t="str">
        <x:v>Result</x:v>
      </x:c>
    </x:row>
    <x:row r="5" ht="34" customHeight="1">
      <x:c r="A5" s="31" t="str">
        <x:v>Document ID</x:v>
      </x:c>
      <x:c r="B5" s="32" t="str">
        <x:v>FICT-TT-001</x:v>
      </x:c>
      <x:c r="D5" s="39" t="str">
        <x:v>Incomplete rows</x:v>
      </x:c>
      <x:c r="E5" s="43" t="n">
        <x:f>COUNTIF('Scope &amp; Governance'!$H$5:$H$10,"Incomplete")+COUNTIF('Knowledge Package'!$I$5:$I$10,"Incomplete")+COUNTIF('Facility &amp; Equipment'!$J$5:$J$10,"Incomplete")+COUNTIF('Process &amp; Materials'!$K$5:$K$10,"Incomplete")+COUNTIF('Analytical Transfer'!$K$5:$K$9,"Incomplete")+COUNTIF('Validation &amp; Commitments'!$J$5:$J$9,"Incomplete")+COUNTIF('Evidence Register'!$J$5:$J$14,"Incomplete")</x:f>
        <x:v>0</x:v>
      </x:c>
    </x:row>
    <x:row r="6" ht="34" customHeight="1">
      <x:c r="A6" s="31" t="str">
        <x:v>Product / stage</x:v>
      </x:c>
      <x:c r="B6" s="32" t="str">
        <x:v>Fictional CHO monoclonal-antibody drug substance</x:v>
      </x:c>
      <x:c r="D6" s="39" t="str">
        <x:v>Evidence-required rows</x:v>
      </x:c>
      <x:c r="E6" s="43" t="n">
        <x:f>COUNTIF('Scope &amp; Governance'!$H$5:$H$10,"Evidence required")+COUNTIF('Knowledge Package'!$I$5:$I$10,"Evidence required")+COUNTIF('Facility &amp; Equipment'!$J$5:$J$10,"Evidence required")+COUNTIF('Process &amp; Materials'!$K$5:$K$10,"Evidence required")+COUNTIF('Analytical Transfer'!$K$5:$K$9,"Evidence required")+COUNTIF('Validation &amp; Commitments'!$J$5:$J$9,"Evidence required")+COUNTIF('Evidence Register'!$J$5:$J$14,"Evidence required")</x:f>
        <x:v>0</x:v>
      </x:c>
    </x:row>
    <x:row r="7" ht="34" customHeight="1">
      <x:c r="A7" s="31" t="str">
        <x:v>Sending → receiving unit</x:v>
      </x:c>
      <x:c r="B7" s="32" t="str">
        <x:v>Fictional Site A → Fictional Site B</x:v>
      </x:c>
      <x:c r="D7" s="39" t="str">
        <x:v>Review-required rows</x:v>
      </x:c>
      <x:c r="E7" s="43" t="n">
        <x:f>COUNTIF('Scope &amp; Governance'!$H$5:$H$10,"Review required")+COUNTIF('Knowledge Package'!$I$5:$I$10,"Review required")+COUNTIF('Facility &amp; Equipment'!$J$5:$J$10,"Review required")+COUNTIF('Process &amp; Materials'!$K$5:$K$10,"Review required")+COUNTIF('Analytical Transfer'!$K$5:$K$9,"Review required")+COUNTIF('Validation &amp; Commitments'!$J$5:$J$9,"Review required")+COUNTIF('Evidence Register'!$J$5:$J$14,"Review required")</x:f>
        <x:v>38</x:v>
      </x:c>
    </x:row>
    <x:row r="8" ht="34" customHeight="1">
      <x:c r="A8" s="31" t="str">
        <x:v>Decision</x:v>
      </x:c>
      <x:c r="B8" s="32" t="str">
        <x:v>Whether the defined drug-substance process and selected QC methods are ready for staged transfer acceptance</x:v>
      </x:c>
      <x:c r="D8" s="39" t="str">
        <x:v>Open actions</x:v>
      </x:c>
      <x:c r="E8" s="43" t="n">
        <x:f>COUNTIF('Review &amp; Actions'!$H$5:$H$9,"&lt;&gt;Closed")</x:f>
        <x:v>5</x:v>
      </x:c>
    </x:row>
    <x:row r="9" ht="34" customHeight="1">
      <x:c r="A9" s="31" t="str">
        <x:v>In scope</x:v>
      </x:c>
      <x:c r="B9" s="32" t="str">
        <x:v>Drug-substance upstream/downstream process, selected materials, facility/equipment fit, potency method and working-reference implementation</x:v>
      </x:c>
      <x:c r="D9" s="41" t="str">
        <x:v>Overall state</x:v>
      </x:c>
      <x:c r="E9" s="45" t="str">
        <x:f>IF(OR(E5&gt;0,E6&gt;0),"Evidence required","Qualified review required")</x:f>
        <x:v>Qualified review required</x:v>
      </x:c>
    </x:row>
    <x:row r="10" ht="34" customHeight="1">
      <x:c r="A10" s="31" t="str">
        <x:v>Out of scope</x:v>
      </x:c>
      <x:c r="B10" s="32" t="str">
        <x:v>Fill-finish, commercial batch release, site approval, filing approval and routine production authorization</x:v>
      </x:c>
    </x:row>
    <x:row r="11" ht="42" customHeight="1">
      <x:c r="A11" s="31" t="str">
        <x:v>Decision owner</x:v>
      </x:c>
      <x:c r="B11" s="32" t="str">
        <x:v>Transfer steering lead and Quality Unit</x:v>
      </x:c>
      <x:c r="D11" s="26" t="str">
        <x:v>Workbook status is a completeness/review signal, never approval.</x:v>
      </x:c>
      <x:c r="E11" s="26"/>
    </x:row>
    <x:row r="12" ht="34" customHeight="1">
      <x:c r="A12" s="31" t="str">
        <x:v>Lifecycle / markets</x:v>
      </x:c>
      <x:c r="B12" s="32" t="str">
        <x:v>Post-approval site-change planning; markets unconfirmed in fictional example</x:v>
      </x:c>
    </x:row>
  </x:sheetData>
  <x:mergeCells>
    <x:mergeCell ref="A1:F1"/>
    <x:mergeCell ref="A2:F2"/>
    <x:mergeCell ref="D11:E1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4" hidden="0" customWidth="1"/>
    <x:col min="4" max="4" width="52" hidden="0" customWidth="1"/>
    <x:col min="5" max="5" width="22" hidden="0" customWidth="1"/>
    <x:col min="6" max="6" width="14" hidden="0" customWidth="1"/>
    <x:col min="7" max="7" width="25" hidden="0" customWidth="1"/>
    <x:col min="8" max="8" width="20" hidden="0" customWidth="1"/>
  </x:cols>
  <x:sheetData>
    <x:row r="1" ht="32" customHeight="1">
      <x:c r="A1" s="3" t="str">
        <x:v>Scope &amp; Governance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Freeze the exact transfer and decision authority before evaluating readiness.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21" t="str">
        <x:v>ID</x:v>
      </x:c>
      <x:c r="B4" s="21" t="str">
        <x:v>Gate</x:v>
      </x:c>
      <x:c r="C4" s="21" t="str">
        <x:v>Requirement</x:v>
      </x:c>
      <x:c r="D4" s="21" t="str">
        <x:v>Controlled scope / decision</x:v>
      </x:c>
      <x:c r="E4" s="21" t="str">
        <x:v>Owner</x:v>
      </x:c>
      <x:c r="F4" s="21" t="str">
        <x:v>Evidence ID</x:v>
      </x:c>
      <x:c r="G4" s="21" t="str">
        <x:v>Reviewer role</x:v>
      </x:c>
      <x:c r="H4" s="21" t="str">
        <x:v>Status</x:v>
      </x:c>
    </x:row>
    <x:row r="5" ht="48" customHeight="1">
      <x:c r="A5" s="16" t="str">
        <x:v>SG-01</x:v>
      </x:c>
      <x:c r="B5" s="16" t="str">
        <x:v>Transfer charter</x:v>
      </x:c>
      <x:c r="C5" s="16" t="str">
        <x:v>Product/process/method versions and sites frozen</x:v>
      </x:c>
      <x:c r="D5" s="16" t="str">
        <x:v>Fictional DS process v7; selected methods; Site A to Site B</x:v>
      </x:c>
      <x:c r="E5" s="16" t="str">
        <x:v>Transfer lead</x:v>
      </x:c>
      <x:c r="F5" s="16" t="str">
        <x:v>EV-01</x:v>
      </x:c>
      <x:c r="G5" s="16" t="str">
        <x:v>Quality Unit</x:v>
      </x:c>
      <x:c r="H5" s="16" t="str">
        <x:f>IF(OR(B5="",C5="",D5="",E5=""),"Incomplete",IF(F5="","Evidence required",IF(OR(G5="",G5="Open",G5="Pending review"),"Review required","Complete")))</x:f>
        <x:v>Complete</x:v>
      </x:c>
    </x:row>
    <x:row r="6" ht="48" customHeight="1">
      <x:c r="A6" s="16" t="str">
        <x:v>SG-02</x:v>
      </x:c>
      <x:c r="B6" s="16" t="str">
        <x:v>Scope</x:v>
      </x:c>
      <x:c r="C6" s="16" t="str">
        <x:v>Included and excluded activities defined</x:v>
      </x:c>
      <x:c r="D6" s="16" t="str">
        <x:v>DS manufacture and selected QC methods in; fill-finish and release out</x:v>
      </x:c>
      <x:c r="E6" s="16" t="str">
        <x:v>Transfer lead</x:v>
      </x:c>
      <x:c r="F6" s="16" t="str">
        <x:v>EV-01</x:v>
      </x:c>
      <x:c r="G6" s="16" t="str">
        <x:v>Quality Unit</x:v>
      </x:c>
      <x:c r="H6" s="16" t="str">
        <x:f>IF(OR(B6="",C6="",D6="",E6=""),"Incomplete",IF(F6="","Evidence required",IF(OR(G6="",G6="Open",G6="Pending review"),"Review required","Complete")))</x:f>
        <x:v>Complete</x:v>
      </x:c>
    </x:row>
    <x:row r="7" ht="48" customHeight="1">
      <x:c r="A7" s="16" t="str">
        <x:v>SG-03</x:v>
      </x:c>
      <x:c r="B7" s="16" t="str">
        <x:v>Authority</x:v>
      </x:c>
      <x:c r="C7" s="16" t="str">
        <x:v>Decision and acceptance authority named</x:v>
      </x:c>
      <x:c r="D7" s="16" t="str">
        <x:v>Staged acceptance by transfer steering team and Quality Unit</x:v>
      </x:c>
      <x:c r="E7" s="16" t="str">
        <x:v>Quality Unit</x:v>
      </x:c>
      <x:c r="F7" s="16" t="str">
        <x:v>EV-02</x:v>
      </x:c>
      <x:c r="G7" s="16" t="str">
        <x:v>Quality governance</x:v>
      </x:c>
      <x:c r="H7" s="16" t="str">
        <x:f>IF(OR(B7="",C7="",D7="",E7=""),"Incomplete",IF(F7="","Evidence required",IF(OR(G7="",G7="Open",G7="Pending review"),"Review required","Complete")))</x:f>
        <x:v>Complete</x:v>
      </x:c>
    </x:row>
    <x:row r="8" ht="48" customHeight="1">
      <x:c r="A8" s="16" t="str">
        <x:v>SG-04</x:v>
      </x:c>
      <x:c r="B8" s="16" t="str">
        <x:v>Change control</x:v>
      </x:c>
      <x:c r="C8" s="16" t="str">
        <x:v>Controlled change and linked projects identified</x:v>
      </x:c>
      <x:c r="D8" s="16" t="str">
        <x:v>Fictional change record with subprojects</x:v>
      </x:c>
      <x:c r="E8" s="16" t="str">
        <x:v>Change owner</x:v>
      </x:c>
      <x:c r="F8" s="16" t="str">
        <x:v>EV-02</x:v>
      </x:c>
      <x:c r="G8" s="16" t="str">
        <x:v>Quality governance</x:v>
      </x:c>
      <x:c r="H8" s="16" t="str">
        <x:f>IF(OR(B8="",C8="",D8="",E8=""),"Incomplete",IF(F8="","Evidence required",IF(OR(G8="",G8="Open",G8="Pending review"),"Review required","Complete")))</x:f>
        <x:v>Complete</x:v>
      </x:c>
    </x:row>
    <x:row r="9" ht="48" customHeight="1">
      <x:c r="A9" s="16" t="str">
        <x:v>SG-05</x:v>
      </x:c>
      <x:c r="B9" s="16" t="str">
        <x:v>Interfaces</x:v>
      </x:c>
      <x:c r="C9" s="16" t="str">
        <x:v>Sending/receiving responsibilities and escalation defined</x:v>
      </x:c>
      <x:c r="D9" s="16" t="str">
        <x:v>RACI and escalation path drafted</x:v>
      </x:c>
      <x:c r="E9" s="16" t="str">
        <x:v>Transfer lead</x:v>
      </x:c>
      <x:c r="F9" s="16" t="str">
        <x:v>EV-03</x:v>
      </x:c>
      <x:c r="G9" s="16" t="str">
        <x:v>Site quality</x:v>
      </x:c>
      <x:c r="H9" s="16" t="str">
        <x:f>IF(OR(B9="",C9="",D9="",E9=""),"Incomplete",IF(F9="","Evidence required",IF(OR(G9="",G9="Open",G9="Pending review"),"Review required","Complete")))</x:f>
        <x:v>Complete</x:v>
      </x:c>
    </x:row>
    <x:row r="10" ht="48" customHeight="1">
      <x:c r="A10" s="17" t="str">
        <x:v>SG-06</x:v>
      </x:c>
      <x:c r="B10" s="17" t="str">
        <x:v>Acceptance</x:v>
      </x:c>
      <x:c r="C10" s="17" t="str">
        <x:v>Staged gates and residual obligations defined</x:v>
      </x:c>
      <x:c r="D10" s="17" t="str">
        <x:v>Nine gates; conditional decisions retain obligations</x:v>
      </x:c>
      <x:c r="E10" s="17" t="str">
        <x:v>Quality Unit</x:v>
      </x:c>
      <x:c r="F10" s="17" t="str">
        <x:v>EV-03</x:v>
      </x:c>
      <x:c r="G10" s="17" t="str">
        <x:v>Cross-functional steering</x:v>
      </x:c>
      <x:c r="H10" s="17" t="str">
        <x:f>IF(OR(B10="",C10="",D10="",E10=""),"Incomplete",IF(F10="","Evidence required",IF(OR(G10="",G10="Open",G10="Pending review"),"Review required","Complete")))</x:f>
        <x:v>Complete</x:v>
      </x:c>
    </x:row>
  </x:sheetData>
  <x:mergeCells>
    <x:mergeCell ref="A1:H1"/>
    <x:mergeCell ref="A2:H2"/>
  </x:mergeCells>
  <x:conditionalFormatting sqref="H5:H10">
    <x:cfRule type="containsText" dxfId="0" priority="1" operator="containsText" text="Evidence required"/>
    <x:cfRule type="containsText" dxfId="1" priority="2" operator="containsText" text="Incomplete"/>
    <x:cfRule type="containsText" dxfId="2" priority="3" operator="containsText" text="Review required"/>
    <x:cfRule type="containsText" dxfId="3" priority="4" operator="containsText" text="Complete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35" hidden="0" customWidth="1"/>
    <x:col min="4" max="4" width="45" hidden="0" customWidth="1"/>
    <x:col min="5" max="5" width="30" hidden="0" customWidth="1"/>
    <x:col min="6" max="6" width="14" hidden="0" customWidth="1"/>
    <x:col min="7" max="7" width="28" hidden="0" customWidth="1"/>
    <x:col min="8" max="8" width="20" hidden="0" customWidth="1"/>
    <x:col min="9" max="9" width="20" hidden="0" customWidth="1"/>
  </x:cols>
  <x:sheetData>
    <x:row r="1" ht="32" customHeight="1">
      <x:c r="A1" s="3" t="str">
        <x:v>Knowledge Package</x:v>
      </x:c>
      <x:c r="B1" s="3"/>
      <x:c r="C1" s="3"/>
      <x:c r="D1" s="3"/>
      <x:c r="E1" s="3"/>
      <x:c r="F1" s="3"/>
      <x:c r="G1" s="3"/>
      <x:c r="H1" s="3"/>
      <x:c r="I1" s="3"/>
    </x:row>
    <x:row r="2" ht="32" customHeight="1">
      <x:c r="A2" s="7" t="str">
        <x:v>A file becomes transfer evidence only when its version, use, limitation, demonstration and owner are controlled.</x:v>
      </x:c>
      <x:c r="B2" s="7"/>
      <x:c r="C2" s="7"/>
      <x:c r="D2" s="7"/>
      <x:c r="E2" s="7"/>
      <x:c r="F2" s="7"/>
      <x:c r="G2" s="7"/>
      <x:c r="H2" s="7"/>
      <x:c r="I2" s="7"/>
    </x:row>
    <x:row r="4" ht="30" customHeight="1">
      <x:c r="A4" s="21" t="str">
        <x:v>ID</x:v>
      </x:c>
      <x:c r="B4" s="21" t="str">
        <x:v>Knowledge object</x:v>
      </x:c>
      <x:c r="C4" s="21" t="str">
        <x:v>Controlled source/version</x:v>
      </x:c>
      <x:c r="D4" s="21" t="str">
        <x:v>Receiving-unit use / acceptance</x:v>
      </x:c>
      <x:c r="E4" s="21" t="str">
        <x:v>Demonstration or training</x:v>
      </x:c>
      <x:c r="F4" s="21" t="str">
        <x:v>Evidence ID</x:v>
      </x:c>
      <x:c r="G4" s="21" t="str">
        <x:v>Owner / reviewer</x:v>
      </x:c>
      <x:c r="H4" s="21" t="str">
        <x:v>Review state</x:v>
      </x:c>
      <x:c r="I4" s="21" t="str">
        <x:v>Status</x:v>
      </x:c>
    </x:row>
    <x:row r="5" ht="48" customHeight="1">
      <x:c r="A5" s="16" t="str">
        <x:v>KP-01</x:v>
      </x:c>
      <x:c r="B5" s="16" t="str">
        <x:v>Development and process rationale</x:v>
      </x:c>
      <x:c r="C5" s="16" t="str">
        <x:v>Controlled summary plus source documents</x:v>
      </x:c>
      <x:c r="D5" s="16" t="str">
        <x:v>Receiving team can explain CQA/process links and limitations</x:v>
      </x:c>
      <x:c r="E5" s="16" t="str">
        <x:v>Knowledge workshop and challenge session</x:v>
      </x:c>
      <x:c r="F5" s="16" t="str">
        <x:v>EV-04</x:v>
      </x:c>
      <x:c r="G5" s="16" t="str">
        <x:v>Process development</x:v>
      </x:c>
      <x:c r="H5" s="16" t="str">
        <x:v>Pending review</x:v>
      </x:c>
      <x:c r="I5" s="16" t="str">
        <x:f>IF(OR(B5="",C5="",D5="",G5=""),"Incomplete",IF(F5="","Evidence required",IF(OR(H5="",H5="Open",H5="Pending review"),"Review required","Complete")))</x:f>
        <x:v>Review required</x:v>
      </x:c>
    </x:row>
    <x:row r="6" ht="48" customHeight="1">
      <x:c r="A6" s="16" t="str">
        <x:v>KP-02</x:v>
      </x:c>
      <x:c r="B6" s="16" t="str">
        <x:v>Process characterization and scale-down knowledge</x:v>
      </x:c>
      <x:c r="C6" s="16" t="str">
        <x:v>Study index and model limitations</x:v>
      </x:c>
      <x:c r="D6" s="16" t="str">
        <x:v>Receiving unit can trace parameter hypotheses and model scope</x:v>
      </x:c>
      <x:c r="E6" s="16" t="str">
        <x:v>Joint review with MSAT</x:v>
      </x:c>
      <x:c r="F6" s="16" t="str">
        <x:v>EV-04</x:v>
      </x:c>
      <x:c r="G6" s="16" t="str">
        <x:v>Process development/MSAT</x:v>
      </x:c>
      <x:c r="H6" s="16" t="str">
        <x:v>Pending review</x:v>
      </x:c>
      <x:c r="I6" s="16" t="str">
        <x:f>IF(OR(B6="",C6="",D6="",G6=""),"Incomplete",IF(F6="","Evidence required",IF(OR(H6="",H6="Open",H6="Pending review"),"Review required","Complete")))</x:f>
        <x:v>Review required</x:v>
      </x:c>
    </x:row>
    <x:row r="7" ht="48" customHeight="1">
      <x:c r="A7" s="16" t="str">
        <x:v>KP-03</x:v>
      </x:c>
      <x:c r="B7" s="16" t="str">
        <x:v>Manufacturing history, deviations and trends</x:v>
      </x:c>
      <x:c r="C7" s="16" t="str">
        <x:v>Selected campaign history and deviation themes</x:v>
      </x:c>
      <x:c r="D7" s="16" t="str">
        <x:v>Known failure modes and atypical trends are visible</x:v>
      </x:c>
      <x:c r="E7" s="16" t="str">
        <x:v>Case walkthrough</x:v>
      </x:c>
      <x:c r="F7" s="16" t="str">
        <x:v>EV-05</x:v>
      </x:c>
      <x:c r="G7" s="16" t="str">
        <x:v>Manufacturing/Quality</x:v>
      </x:c>
      <x:c r="H7" s="16" t="str">
        <x:v>Pending review</x:v>
      </x:c>
      <x:c r="I7" s="16" t="str">
        <x:f>IF(OR(B7="",C7="",D7="",G7=""),"Incomplete",IF(F7="","Evidence required",IF(OR(H7="",H7="Open",H7="Pending review"),"Review required","Complete")))</x:f>
        <x:v>Review required</x:v>
      </x:c>
    </x:row>
    <x:row r="8" ht="48" customHeight="1">
      <x:c r="A8" s="16" t="str">
        <x:v>KP-04</x:v>
      </x:c>
      <x:c r="B8" s="16" t="str">
        <x:v>Control strategy and sampling rationale</x:v>
      </x:c>
      <x:c r="C8" s="16" t="str">
        <x:v>Controlled process and sampling map</x:v>
      </x:c>
      <x:c r="D8" s="16" t="str">
        <x:v>Receiving controls trace to product/process intent</x:v>
      </x:c>
      <x:c r="E8" s="16" t="str">
        <x:v>Map review</x:v>
      </x:c>
      <x:c r="F8" s="16" t="str">
        <x:v>EV-05</x:v>
      </x:c>
      <x:c r="G8" s="16" t="str">
        <x:v>MSAT/Quality</x:v>
      </x:c>
      <x:c r="H8" s="16" t="str">
        <x:v>Pending review</x:v>
      </x:c>
      <x:c r="I8" s="16" t="str">
        <x:f>IF(OR(B8="",C8="",D8="",G8=""),"Incomplete",IF(F8="","Evidence required",IF(OR(H8="",H8="Open",H8="Pending review"),"Review required","Complete")))</x:f>
        <x:v>Review required</x:v>
      </x:c>
    </x:row>
    <x:row r="9" ht="48" customHeight="1">
      <x:c r="A9" s="16" t="str">
        <x:v>KP-05</x:v>
      </x:c>
      <x:c r="B9" s="16" t="str">
        <x:v>Analytical methods and blind spots</x:v>
      </x:c>
      <x:c r="C9" s="16" t="str">
        <x:v>Method lifecycle and reportability package</x:v>
      </x:c>
      <x:c r="D9" s="16" t="str">
        <x:v>Receiving lab understands intended uses and limitations</x:v>
      </x:c>
      <x:c r="E9" s="16" t="str">
        <x:v>Method knowledge review</x:v>
      </x:c>
      <x:c r="F9" s="16" t="str">
        <x:v>EV-08</x:v>
      </x:c>
      <x:c r="G9" s="16" t="str">
        <x:v>Analytical development/QC</x:v>
      </x:c>
      <x:c r="H9" s="16" t="str">
        <x:v>Pending review</x:v>
      </x:c>
      <x:c r="I9" s="16" t="str">
        <x:f>IF(OR(B9="",C9="",D9="",G9=""),"Incomplete",IF(F9="","Evidence required",IF(OR(H9="",H9="Open",H9="Pending review"),"Review required","Complete")))</x:f>
        <x:v>Review required</x:v>
      </x:c>
    </x:row>
    <x:row r="10" ht="48" customHeight="1">
      <x:c r="A10" s="17" t="str">
        <x:v>KP-06</x:v>
      </x:c>
      <x:c r="B10" s="17" t="str">
        <x:v>Change, commitment and filing history</x:v>
      </x:c>
      <x:c r="C10" s="17" t="str">
        <x:v>Controlled commitments register</x:v>
      </x:c>
      <x:c r="D10" s="17" t="str">
        <x:v>Transfer plan separates internal actions from market obligations</x:v>
      </x:c>
      <x:c r="E10" s="17" t="str">
        <x:v>Regulatory review</x:v>
      </x:c>
      <x:c r="F10" s="17" t="str">
        <x:v>EV-10</x:v>
      </x:c>
      <x:c r="G10" s="17" t="str">
        <x:v>Regulatory CMC/Quality</x:v>
      </x:c>
      <x:c r="H10" s="17" t="str">
        <x:v>Pending review</x:v>
      </x:c>
      <x:c r="I10" s="17" t="str">
        <x:f>IF(OR(B10="",C10="",D10="",G10=""),"Incomplete",IF(F10="","Evidence required",IF(OR(H10="",H10="Open",H10="Pending review"),"Review required","Complete")))</x:f>
        <x:v>Review required</x:v>
      </x:c>
    </x:row>
  </x:sheetData>
  <x:mergeCells>
    <x:mergeCell ref="A1:I1"/>
    <x:mergeCell ref="A2:I2"/>
  </x:mergeCells>
  <x:conditionalFormatting sqref="I5:I10">
    <x:cfRule type="containsText" dxfId="4" priority="1" operator="containsText" text="Evidence required"/>
    <x:cfRule type="containsText" dxfId="5" priority="2" operator="containsText" text="Incomplete"/>
    <x:cfRule type="containsText" dxfId="6" priority="3" operator="containsText" text="Review required"/>
    <x:cfRule type="containsText" dxfId="7" priority="4" operator="containsText" text="Complete"/>
  </x:conditionalFormatting>
  <x:dataValidations count="1">
    <x:dataValidation type="list" sqref="H5:H10">
      <x:formula1>"Not started,In progress,Pending review,Accepted,Rejected,Deferred,Closed"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30" hidden="0" customWidth="1"/>
    <x:col min="4" max="4" width="42" hidden="0" customWidth="1"/>
    <x:col min="5" max="5" width="44" hidden="0" customWidth="1"/>
    <x:col min="6" max="6" width="30" hidden="0" customWidth="1"/>
    <x:col min="7" max="7" width="14" hidden="0" customWidth="1"/>
    <x:col min="8" max="8" width="30" hidden="0" customWidth="1"/>
    <x:col min="9" max="9" width="16" hidden="0" customWidth="1"/>
    <x:col min="10" max="10" width="20" hidden="0" customWidth="1"/>
  </x:cols>
  <x:sheetData>
    <x:row r="1" ht="32" customHeight="1">
      <x:c r="A1" s="3" t="str">
        <x:v>Facility &amp; Equipment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Compare functional requirements and product/process impact; neither sameness nor difference is a conclusion.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21" t="str">
        <x:v>ID</x:v>
      </x:c>
      <x:c r="B4" s="21" t="str">
        <x:v>Area</x:v>
      </x:c>
      <x:c r="C4" s="21" t="str">
        <x:v>Function / requirement</x:v>
      </x:c>
      <x:c r="D4" s="21" t="str">
        <x:v>Receiving-unit difference</x:v>
      </x:c>
      <x:c r="E4" s="21" t="str">
        <x:v>Potential product/process impact</x:v>
      </x:c>
      <x:c r="F4" s="21" t="str">
        <x:v>Proposed evidence</x:v>
      </x:c>
      <x:c r="G4" s="21" t="str">
        <x:v>Evidence ID</x:v>
      </x:c>
      <x:c r="H4" s="21" t="str">
        <x:v>Owner / reviewer</x:v>
      </x:c>
      <x:c r="I4" s="21" t="str">
        <x:v>Decision</x:v>
      </x:c>
      <x:c r="J4" s="21" t="str">
        <x:v>Status</x:v>
      </x:c>
    </x:row>
    <x:row r="5" ht="48" customHeight="1">
      <x:c r="A5" s="16" t="str">
        <x:v>FE-01</x:v>
      </x:c>
      <x:c r="B5" s="16" t="str">
        <x:v>Upstream</x:v>
      </x:c>
      <x:c r="C5" s="16" t="str">
        <x:v>Single-use bioreactor and control system</x:v>
      </x:c>
      <x:c r="D5" s="16" t="str">
        <x:v>Different scale, geometry, sensor positions and control configuration</x:v>
      </x:c>
      <x:c r="E5" s="16" t="str">
        <x:v>Mixing, mass-transfer, heat-transfer and control-loop product/process impact</x:v>
      </x:c>
      <x:c r="F5" s="16" t="str">
        <x:v>Functional fit and bridging plan</x:v>
      </x:c>
      <x:c r="G5" s="16" t="str">
        <x:v>EV-06</x:v>
      </x:c>
      <x:c r="H5" s="16" t="str">
        <x:v>Upstream/MSAT + automation</x:v>
      </x:c>
      <x:c r="I5" s="16" t="str">
        <x:v>Open</x:v>
      </x:c>
      <x:c r="J5" s="16" t="str">
        <x:f>IF(OR(B5="",C5="",D5="",E5="",H5=""),"Incomplete",IF(G5="","Evidence required",IF(OR(I5="",I5="Open",I5="Pending review"),"Review required","Complete")))</x:f>
        <x:v>Review required</x:v>
      </x:c>
    </x:row>
    <x:row r="6" ht="48" customHeight="1">
      <x:c r="A6" s="16" t="str">
        <x:v>FE-02</x:v>
      </x:c>
      <x:c r="B6" s="16" t="str">
        <x:v>Downstream</x:v>
      </x:c>
      <x:c r="C6" s="16" t="str">
        <x:v>Chromatography skid and flow path</x:v>
      </x:c>
      <x:c r="D6" s="16" t="str">
        <x:v>Different skid, column geometry and flow-path volume</x:v>
      </x:c>
      <x:c r="E6" s="16" t="str">
        <x:v>Residence, gradient, hold, sampling and carryover impact</x:v>
      </x:c>
      <x:c r="F6" s="16" t="str">
        <x:v>Engineering/MSAT assessment</x:v>
      </x:c>
      <x:c r="G6" s="16" t="str">
        <x:v>EV-06</x:v>
      </x:c>
      <x:c r="H6" s="16" t="str">
        <x:v>Downstream/MSAT + engineering</x:v>
      </x:c>
      <x:c r="I6" s="16" t="str">
        <x:v>Open</x:v>
      </x:c>
      <x:c r="J6" s="16" t="str">
        <x:f>IF(OR(B6="",C6="",D6="",E6="",H6=""),"Incomplete",IF(G6="","Evidence required",IF(OR(I6="",I6="Open",I6="Pending review"),"Review required","Complete")))</x:f>
        <x:v>Review required</x:v>
      </x:c>
    </x:row>
    <x:row r="7" ht="48" customHeight="1">
      <x:c r="A7" s="16" t="str">
        <x:v>FE-03</x:v>
      </x:c>
      <x:c r="B7" s="16" t="str">
        <x:v>Utilities</x:v>
      </x:c>
      <x:c r="C7" s="16" t="str">
        <x:v>Process gases, clean utilities and monitoring</x:v>
      </x:c>
      <x:c r="D7" s="16" t="str">
        <x:v>Receiving system configurations differ</x:v>
      </x:c>
      <x:c r="E7" s="16" t="str">
        <x:v>Capacity, quality, connection, alarm and continuity fit</x:v>
      </x:c>
      <x:c r="F7" s="16" t="str">
        <x:v>Utility qualification map</x:v>
      </x:c>
      <x:c r="G7" s="16" t="str">
        <x:v>EV-06</x:v>
      </x:c>
      <x:c r="H7" s="16" t="str">
        <x:v>Engineering/validation</x:v>
      </x:c>
      <x:c r="I7" s="16" t="str">
        <x:v>Open</x:v>
      </x:c>
      <x:c r="J7" s="16" t="str">
        <x:f>IF(OR(B7="",C7="",D7="",E7="",H7=""),"Incomplete",IF(G7="","Evidence required",IF(OR(I7="",I7="Open",I7="Pending review"),"Review required","Complete")))</x:f>
        <x:v>Review required</x:v>
      </x:c>
    </x:row>
    <x:row r="8" ht="48" customHeight="1">
      <x:c r="A8" s="16" t="str">
        <x:v>FE-04</x:v>
      </x:c>
      <x:c r="B8" s="16" t="str">
        <x:v>Automation/data</x:v>
      </x:c>
      <x:c r="C8" s="16" t="str">
        <x:v>Control recipes, historians, interfaces and access</x:v>
      </x:c>
      <x:c r="D8" s="16" t="str">
        <x:v>Different platform and configuration lifecycle</x:v>
      </x:c>
      <x:c r="E8" s="16" t="str">
        <x:v>Logic translation, alarms, audit trail, data flow and backup</x:v>
      </x:c>
      <x:c r="F8" s="16" t="str">
        <x:v>Automation/data assessment</x:v>
      </x:c>
      <x:c r="G8" s="16" t="str">
        <x:v>EV-07</x:v>
      </x:c>
      <x:c r="H8" s="16" t="str">
        <x:v>Automation/data integrity</x:v>
      </x:c>
      <x:c r="I8" s="16" t="str">
        <x:v>Open</x:v>
      </x:c>
      <x:c r="J8" s="16" t="str">
        <x:f>IF(OR(B8="",C8="",D8="",E8="",H8=""),"Incomplete",IF(G8="","Evidence required",IF(OR(I8="",I8="Open",I8="Pending review"),"Review required","Complete")))</x:f>
        <x:v>Review required</x:v>
      </x:c>
    </x:row>
    <x:row r="9" ht="48" customHeight="1">
      <x:c r="A9" s="16" t="str">
        <x:v>FE-05</x:v>
      </x:c>
      <x:c r="B9" s="16" t="str">
        <x:v>Cleaning/sterilization</x:v>
      </x:c>
      <x:c r="C9" s="16" t="str">
        <x:v>Single-use plus reusable boundary</x:v>
      </x:c>
      <x:c r="D9" s="16" t="str">
        <x:v>Different assembly and skid boundary</x:v>
      </x:c>
      <x:c r="E9" s="16" t="str">
        <x:v>Cleaning, sterilization, integrity, hold and contamination-control fit</x:v>
      </x:c>
      <x:c r="F9" s="16" t="str">
        <x:v>Validation strategy</x:v>
      </x:c>
      <x:c r="G9" s="16" t="str">
        <x:v>EV-07</x:v>
      </x:c>
      <x:c r="H9" s="16" t="str">
        <x:v>Validation/Quality</x:v>
      </x:c>
      <x:c r="I9" s="16" t="str">
        <x:v>Open</x:v>
      </x:c>
      <x:c r="J9" s="16" t="str">
        <x:f>IF(OR(B9="",C9="",D9="",E9="",H9=""),"Incomplete",IF(G9="","Evidence required",IF(OR(I9="",I9="Open",I9="Pending review"),"Review required","Complete")))</x:f>
        <x:v>Review required</x:v>
      </x:c>
    </x:row>
    <x:row r="10" ht="48" customHeight="1">
      <x:c r="A10" s="17" t="str">
        <x:v>FE-06</x:v>
      </x:c>
      <x:c r="B10" s="17" t="str">
        <x:v>Operations</x:v>
      </x:c>
      <x:c r="C10" s="17" t="str">
        <x:v>Layout, material/personnel flows, maintenance</x:v>
      </x:c>
      <x:c r="D10" s="17" t="str">
        <x:v>Receiving layout and support model differ</x:v>
      </x:c>
      <x:c r="E10" s="17" t="str">
        <x:v>Execution, intervention, maintenance, calibration and containment fit</x:v>
      </x:c>
      <x:c r="F10" s="17" t="str">
        <x:v>Operational readiness review</x:v>
      </x:c>
      <x:c r="G10" s="17" t="str">
        <x:v>EV-07</x:v>
      </x:c>
      <x:c r="H10" s="17" t="str">
        <x:v>Manufacturing/EHS/Quality</x:v>
      </x:c>
      <x:c r="I10" s="17" t="str">
        <x:v>Open</x:v>
      </x:c>
      <x:c r="J10" s="17" t="str">
        <x:f>IF(OR(B10="",C10="",D10="",E10="",H10=""),"Incomplete",IF(G10="","Evidence required",IF(OR(I10="",I10="Open",I10="Pending review"),"Review required","Complete")))</x:f>
        <x:v>Review required</x:v>
      </x:c>
    </x:row>
  </x:sheetData>
  <x:mergeCells>
    <x:mergeCell ref="A1:J1"/>
    <x:mergeCell ref="A2:J2"/>
  </x:mergeCells>
  <x:conditionalFormatting sqref="J5:J10">
    <x:cfRule type="containsText" dxfId="8" priority="1" operator="containsText" text="Evidence required"/>
    <x:cfRule type="containsText" dxfId="9" priority="2" operator="containsText" text="Incomplete"/>
    <x:cfRule type="containsText" dxfId="10" priority="3" operator="containsText" text="Review required"/>
    <x:cfRule type="containsText" dxfId="11" priority="4" operator="containsText" text="Complete"/>
  </x:conditionalFormatting>
  <x:dataValidations count="1">
    <x:dataValidation type="list" sqref="I5:I10">
      <x:formula1>"Open,Conditional,Accepted,Rejected,Deferred"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0" hidden="0" customWidth="1"/>
    <x:col min="3" max="3" width="32" hidden="0" customWidth="1"/>
    <x:col min="4" max="4" width="42" hidden="0" customWidth="1"/>
    <x:col min="5" max="5" width="42" hidden="0" customWidth="1"/>
    <x:col min="6" max="6" width="42" hidden="0" customWidth="1"/>
    <x:col min="7" max="7" width="16" hidden="0" customWidth="1"/>
    <x:col min="8" max="8" width="14" hidden="0" customWidth="1"/>
    <x:col min="9" max="9" width="30" hidden="0" customWidth="1"/>
    <x:col min="10" max="10" width="20" hidden="0" customWidth="1"/>
    <x:col min="11" max="11" width="20" hidden="0" customWidth="1"/>
  </x:cols>
  <x:sheetData>
    <x:row r="1" ht="32" customHeight="1">
      <x:c r="A1" s="3" t="str">
        <x:v>Process &amp; Materials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Link each difference to product/process evidence, controls, limitations and review; do not create platform ranges.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21" t="str">
        <x:v>ID</x:v>
      </x:c>
      <x:c r="B4" s="21" t="str">
        <x:v>Unit operation</x:v>
      </x:c>
      <x:c r="C4" s="21" t="str">
        <x:v>Inputs / controls</x:v>
      </x:c>
      <x:c r="D4" s="21" t="str">
        <x:v>Receiving-unit difference</x:v>
      </x:c>
      <x:c r="E4" s="21" t="str">
        <x:v>Potential impact</x:v>
      </x:c>
      <x:c r="F4" s="21" t="str">
        <x:v>Evidence / control plan</x:v>
      </x:c>
      <x:c r="G4" s="21" t="str">
        <x:v>Decision</x:v>
      </x:c>
      <x:c r="H4" s="21" t="str">
        <x:v>Evidence ID</x:v>
      </x:c>
      <x:c r="I4" s="21" t="str">
        <x:v>Owner / reviewer</x:v>
      </x:c>
      <x:c r="J4" s="21" t="str">
        <x:v>Review state</x:v>
      </x:c>
      <x:c r="K4" s="21" t="str">
        <x:v>Status</x:v>
      </x:c>
    </x:row>
    <x:row r="5" ht="48" customHeight="1">
      <x:c r="A5" s="16" t="str">
        <x:v>PM-01</x:v>
      </x:c>
      <x:c r="B5" s="16" t="str">
        <x:v>Cell culture</x:v>
      </x:c>
      <x:c r="C5" s="16" t="str">
        <x:v>Cell bank, media and single-use assemblies</x:v>
      </x:c>
      <x:c r="D5" s="16" t="str">
        <x:v>Regional assembly source and receiving bioreactor system</x:v>
      </x:c>
      <x:c r="E5" s="16" t="str">
        <x:v>Cell growth, performance and product-attribute relationship</x:v>
      </x:c>
      <x:c r="F5" s="16" t="str">
        <x:v>Defined monitoring plus representative product/process evidence</x:v>
      </x:c>
      <x:c r="G5" s="16" t="str">
        <x:v>Open</x:v>
      </x:c>
      <x:c r="H5" s="16" t="str">
        <x:v>EV-04</x:v>
      </x:c>
      <x:c r="I5" s="16" t="str">
        <x:v>Upstream/MSAT + product quality</x:v>
      </x:c>
      <x:c r="J5" s="16" t="str">
        <x:v>Pending review</x:v>
      </x:c>
      <x:c r="K5" s="16" t="str">
        <x:f>IF(OR(B5="",C5="",D5="",E5="",I5=""),"Incomplete",IF(H5="","Evidence required",IF(OR(J5="",J5="Open",J5="Pending review"),"Review required","Complete")))</x:f>
        <x:v>Review required</x:v>
      </x:c>
    </x:row>
    <x:row r="6" ht="48" customHeight="1">
      <x:c r="A6" s="16" t="str">
        <x:v>PM-02</x:v>
      </x:c>
      <x:c r="B6" s="16" t="str">
        <x:v>Harvest/clarification</x:v>
      </x:c>
      <x:c r="C6" s="16" t="str">
        <x:v>Harvest timing, holds and clarification train</x:v>
      </x:c>
      <x:c r="D6" s="16" t="str">
        <x:v>Receiving hold and connection configuration</x:v>
      </x:c>
      <x:c r="E6" s="16" t="str">
        <x:v>Bioburden, product quality, impurity load and downstream fit</x:v>
      </x:c>
      <x:c r="F6" s="16" t="str">
        <x:v>Hold/clarification evidence and sampling rationale</x:v>
      </x:c>
      <x:c r="G6" s="16" t="str">
        <x:v>Open</x:v>
      </x:c>
      <x:c r="H6" s="16" t="str">
        <x:v>EV-05</x:v>
      </x:c>
      <x:c r="I6" s="16" t="str">
        <x:v>Upstream/downstream MSAT</x:v>
      </x:c>
      <x:c r="J6" s="16" t="str">
        <x:v>Pending review</x:v>
      </x:c>
      <x:c r="K6" s="16" t="str">
        <x:f>IF(OR(B6="",C6="",D6="",E6="",I6=""),"Incomplete",IF(H6="","Evidence required",IF(OR(J6="",J6="Open",J6="Pending review"),"Review required","Complete")))</x:f>
        <x:v>Review required</x:v>
      </x:c>
    </x:row>
    <x:row r="7" ht="48" customHeight="1">
      <x:c r="A7" s="16" t="str">
        <x:v>PM-03</x:v>
      </x:c>
      <x:c r="B7" s="16" t="str">
        <x:v>Capture</x:v>
      </x:c>
      <x:c r="C7" s="16" t="str">
        <x:v>Capture column/skid and incoming load</x:v>
      </x:c>
      <x:c r="D7" s="16" t="str">
        <x:v>Different skid and column geometry</x:v>
      </x:c>
      <x:c r="E7" s="16" t="str">
        <x:v>Recovery, impurity clearance, pool quality and downstream load</x:v>
      </x:c>
      <x:c r="F7" s="16" t="str">
        <x:v>Scale/geometry assessment and representative execution</x:v>
      </x:c>
      <x:c r="G7" s="16" t="str">
        <x:v>Open</x:v>
      </x:c>
      <x:c r="H7" s="16" t="str">
        <x:v>EV-06</x:v>
      </x:c>
      <x:c r="I7" s="16" t="str">
        <x:v>Downstream MSAT</x:v>
      </x:c>
      <x:c r="J7" s="16" t="str">
        <x:v>Pending review</x:v>
      </x:c>
      <x:c r="K7" s="16" t="str">
        <x:f>IF(OR(B7="",C7="",D7="",E7="",I7=""),"Incomplete",IF(H7="","Evidence required",IF(OR(J7="",J7="Open",J7="Pending review"),"Review required","Complete")))</x:f>
        <x:v>Review required</x:v>
      </x:c>
    </x:row>
    <x:row r="8" ht="48" customHeight="1">
      <x:c r="A8" s="16" t="str">
        <x:v>PM-04</x:v>
      </x:c>
      <x:c r="B8" s="16" t="str">
        <x:v>Polishing</x:v>
      </x:c>
      <x:c r="C8" s="16" t="str">
        <x:v>Polishing train, membrane and buffers</x:v>
      </x:c>
      <x:c r="D8" s="16" t="str">
        <x:v>Local material logistics and equipment interfaces</x:v>
      </x:c>
      <x:c r="E8" s="16" t="str">
        <x:v>Variant/impurity control, recovery, viral-safety and hold impact</x:v>
      </x:c>
      <x:c r="F8" s="16" t="str">
        <x:v>Material qualification and sensitive analytical evidence</x:v>
      </x:c>
      <x:c r="G8" s="16" t="str">
        <x:v>Open</x:v>
      </x:c>
      <x:c r="H8" s="16" t="str">
        <x:v>EV-09</x:v>
      </x:c>
      <x:c r="I8" s="16" t="str">
        <x:v>Downstream + analytical + viral safety</x:v>
      </x:c>
      <x:c r="J8" s="16" t="str">
        <x:v>Pending review</x:v>
      </x:c>
      <x:c r="K8" s="16" t="str">
        <x:f>IF(OR(B8="",C8="",D8="",E8="",I8=""),"Incomplete",IF(H8="","Evidence required",IF(OR(J8="",J8="Open",J8="Pending review"),"Review required","Complete")))</x:f>
        <x:v>Review required</x:v>
      </x:c>
    </x:row>
    <x:row r="9" ht="48" customHeight="1">
      <x:c r="A9" s="16" t="str">
        <x:v>PM-05</x:v>
      </x:c>
      <x:c r="B9" s="16" t="str">
        <x:v>Bulk hold/storage</x:v>
      </x:c>
      <x:c r="C9" s="16" t="str">
        <x:v>Container, hold, freeze/thaw or shipping scope</x:v>
      </x:c>
      <x:c r="D9" s="16" t="str">
        <x:v>Receiving storage and route differ</x:v>
      </x:c>
      <x:c r="E9" s="16" t="str">
        <x:v>Stability, mixing, sampling and transport representativeness</x:v>
      </x:c>
      <x:c r="F9" s="16" t="str">
        <x:v>Approved study/qualification linkage</x:v>
      </x:c>
      <x:c r="G9" s="16" t="str">
        <x:v>Open</x:v>
      </x:c>
      <x:c r="H9" s="16" t="str">
        <x:v>EV-10</x:v>
      </x:c>
      <x:c r="I9" s="16" t="str">
        <x:v>Stability/validation/supply</x:v>
      </x:c>
      <x:c r="J9" s="16" t="str">
        <x:v>Pending review</x:v>
      </x:c>
      <x:c r="K9" s="16" t="str">
        <x:f>IF(OR(B9="",C9="",D9="",E9="",I9=""),"Incomplete",IF(H9="","Evidence required",IF(OR(J9="",J9="Open",J9="Pending review"),"Review required","Complete")))</x:f>
        <x:v>Review required</x:v>
      </x:c>
    </x:row>
    <x:row r="10" ht="48" customHeight="1">
      <x:c r="A10" s="17" t="str">
        <x:v>PM-06</x:v>
      </x:c>
      <x:c r="B10" s="17" t="str">
        <x:v>Supply continuity</x:v>
      </x:c>
      <x:c r="C10" s="17" t="str">
        <x:v>Critical materials, reference and reagent inventory</x:v>
      </x:c>
      <x:c r="D10" s="17" t="str">
        <x:v>Regional lead time and supplier pathways differ</x:v>
      </x:c>
      <x:c r="E10" s="17" t="str">
        <x:v>Continuity, change notification and comparability trigger</x:v>
      </x:c>
      <x:c r="F10" s="17" t="str">
        <x:v>Supply risk and approved controls</x:v>
      </x:c>
      <x:c r="G10" s="17" t="str">
        <x:v>Open</x:v>
      </x:c>
      <x:c r="H10" s="17" t="str">
        <x:v>EV-10</x:v>
      </x:c>
      <x:c r="I10" s="17" t="str">
        <x:v>Supply/supplier quality</x:v>
      </x:c>
      <x:c r="J10" s="17" t="str">
        <x:v>Pending review</x:v>
      </x:c>
      <x:c r="K10" s="17" t="str">
        <x:f>IF(OR(B10="",C10="",D10="",E10="",I10=""),"Incomplete",IF(H10="","Evidence required",IF(OR(J10="",J10="Open",J10="Pending review"),"Review required","Complete")))</x:f>
        <x:v>Review required</x:v>
      </x:c>
    </x:row>
  </x:sheetData>
  <x:mergeCells>
    <x:mergeCell ref="A1:K1"/>
    <x:mergeCell ref="A2:K2"/>
  </x:mergeCells>
  <x:conditionalFormatting sqref="K5:K10">
    <x:cfRule type="containsText" dxfId="12" priority="1" operator="containsText" text="Evidence required"/>
    <x:cfRule type="containsText" dxfId="13" priority="2" operator="containsText" text="Incomplete"/>
    <x:cfRule type="containsText" dxfId="14" priority="3" operator="containsText" text="Review required"/>
    <x:cfRule type="containsText" dxfId="15" priority="4" operator="containsText" text="Complete"/>
  </x:conditionalFormatting>
  <x:dataValidations count="2">
    <x:dataValidation type="list" sqref="G5:G10">
      <x:formula1>"Open,Conditional,Accepted,Rejected,Deferred"</x:formula1>
    </x:dataValidation>
    <x:dataValidation type="list" sqref="J5:J10">
      <x:formula1>"Not started,In progress,Pending review,Accepted,Rejected,Deferred,Closed"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24" hidden="0" customWidth="1"/>
    <x:col min="4" max="4" width="36" hidden="0" customWidth="1"/>
    <x:col min="5" max="5" width="42" hidden="0" customWidth="1"/>
    <x:col min="6" max="6" width="38" hidden="0" customWidth="1"/>
    <x:col min="7" max="7" width="32" hidden="0" customWidth="1"/>
    <x:col min="8" max="8" width="14" hidden="0" customWidth="1"/>
    <x:col min="9" max="9" width="30" hidden="0" customWidth="1"/>
    <x:col min="10" max="10" width="20" hidden="0" customWidth="1"/>
    <x:col min="11" max="11" width="20" hidden="0" customWidth="1"/>
  </x:cols>
  <x:sheetData>
    <x:row r="1" ht="32" customHeight="1">
      <x:c r="A1" s="3" t="str">
        <x:v>Analytical Transfer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 ht="32" customHeight="1">
      <x:c r="A2" s="7" t="str">
        <x:v>Validation, transfer/bridging, analyst and instrument qualification, data flow, and routine QC readiness remain distinct.</x:v>
      </x:c>
      <x:c r="B2" s="7"/>
      <x:c r="C2" s="7"/>
      <x:c r="D2" s="7"/>
      <x:c r="E2" s="7"/>
      <x:c r="F2" s="7"/>
      <x:c r="G2" s="7"/>
      <x:c r="H2" s="7"/>
      <x:c r="I2" s="7"/>
      <x:c r="J2" s="7"/>
      <x:c r="K2" s="7"/>
    </x:row>
    <x:row r="4" ht="30" customHeight="1">
      <x:c r="A4" s="21" t="str">
        <x:v>ID</x:v>
      </x:c>
      <x:c r="B4" s="21" t="str">
        <x:v>Procedure/system</x:v>
      </x:c>
      <x:c r="C4" s="21" t="str">
        <x:v>Intended use</x:v>
      </x:c>
      <x:c r="D4" s="21" t="str">
        <x:v>Controlled version / scope</x:v>
      </x:c>
      <x:c r="E4" s="21" t="str">
        <x:v>Receiving-unit variables</x:v>
      </x:c>
      <x:c r="F4" s="21" t="str">
        <x:v>Transfer / bridge evidence</x:v>
      </x:c>
      <x:c r="G4" s="21" t="str">
        <x:v>Validation / readiness state</x:v>
      </x:c>
      <x:c r="H4" s="21" t="str">
        <x:v>Evidence ID</x:v>
      </x:c>
      <x:c r="I4" s="21" t="str">
        <x:v>Owner / reviewer</x:v>
      </x:c>
      <x:c r="J4" s="21" t="str">
        <x:v>Review state</x:v>
      </x:c>
      <x:c r="K4" s="21" t="str">
        <x:v>Status</x:v>
      </x:c>
    </x:row>
    <x:row r="5" ht="48" customHeight="1">
      <x:c r="A5" s="16" t="str">
        <x:v>AT-01</x:v>
      </x:c>
      <x:c r="B5" s="16" t="str">
        <x:v>Potency bioassay</x:v>
      </x:c>
      <x:c r="C5" s="16" t="str">
        <x:v>Release and stability</x:v>
      </x:c>
      <x:c r="D5" s="16" t="str">
        <x:v>Controlled method version; receiving implementation</x:v>
      </x:c>
      <x:c r="E5" s="16" t="str">
        <x:v>Cell/reagent state, reference lot, instrument/software and analyst</x:v>
      </x:c>
      <x:c r="F5" s="16" t="str">
        <x:v>Comparative representative samples plus performance review</x:v>
      </x:c>
      <x:c r="G5" s="16" t="str">
        <x:v>Sending validation available; receiving fit open</x:v>
      </x:c>
      <x:c r="H5" s="16" t="str">
        <x:v>EV-08</x:v>
      </x:c>
      <x:c r="I5" s="16" t="str">
        <x:v>Analytical/QC + bioassay statistics</x:v>
      </x:c>
      <x:c r="J5" s="16" t="str">
        <x:v>Pending review</x:v>
      </x:c>
      <x:c r="K5" s="16" t="str">
        <x:f>IF(OR(B5="",C5="",D5="",E5="",I5=""),"Incomplete",IF(H5="","Evidence required",IF(OR(J5="",J5="Open",J5="Pending review"),"Review required","Complete")))</x:f>
        <x:v>Review required</x:v>
      </x:c>
    </x:row>
    <x:row r="6" ht="48" customHeight="1">
      <x:c r="A6" s="16" t="str">
        <x:v>AT-02</x:v>
      </x:c>
      <x:c r="B6" s="16" t="str">
        <x:v>Charge profile</x:v>
      </x:c>
      <x:c r="C6" s="16" t="str">
        <x:v>Characterization/comparability</x:v>
      </x:c>
      <x:c r="D6" s="16" t="str">
        <x:v>Controlled method at sending lab; receiving use proposed</x:v>
      </x:c>
      <x:c r="E6" s="16" t="str">
        <x:v>Instrument configuration, integration and reference suitability</x:v>
      </x:c>
      <x:c r="F6" s="16" t="str">
        <x:v>Method bridge and orthogonal review</x:v>
      </x:c>
      <x:c r="G6" s="16" t="str">
        <x:v>Method capability review open</x:v>
      </x:c>
      <x:c r="H6" s="16" t="str">
        <x:v>EV-08</x:v>
      </x:c>
      <x:c r="I6" s="16" t="str">
        <x:v>Analytical development</x:v>
      </x:c>
      <x:c r="J6" s="16" t="str">
        <x:v>Pending review</x:v>
      </x:c>
      <x:c r="K6" s="16" t="str">
        <x:f>IF(OR(B6="",C6="",D6="",E6="",I6=""),"Incomplete",IF(H6="","Evidence required",IF(OR(J6="",J6="Open",J6="Pending review"),"Review required","Complete")))</x:f>
        <x:v>Review required</x:v>
      </x:c>
    </x:row>
    <x:row r="7" ht="48" customHeight="1">
      <x:c r="A7" s="16" t="str">
        <x:v>AT-03</x:v>
      </x:c>
      <x:c r="B7" s="16" t="str">
        <x:v>Purity/aggregation</x:v>
      </x:c>
      <x:c r="C7" s="16" t="str">
        <x:v>Release/stability/comparability</x:v>
      </x:c>
      <x:c r="D7" s="16" t="str">
        <x:v>Controlled method package</x:v>
      </x:c>
      <x:c r="E7" s="16" t="str">
        <x:v>Sample handling, system, column and data processing</x:v>
      </x:c>
      <x:c r="F7" s="16" t="str">
        <x:v>Representative bridge and reportability review</x:v>
      </x:c>
      <x:c r="G7" s="16" t="str">
        <x:v>Receiving readiness open</x:v>
      </x:c>
      <x:c r="H7" s="16" t="str">
        <x:v>EV-09</x:v>
      </x:c>
      <x:c r="I7" s="16" t="str">
        <x:v>Analytical/QC</x:v>
      </x:c>
      <x:c r="J7" s="16" t="str">
        <x:v>Pending review</x:v>
      </x:c>
      <x:c r="K7" s="16" t="str">
        <x:f>IF(OR(B7="",C7="",D7="",E7="",I7=""),"Incomplete",IF(H7="","Evidence required",IF(OR(J7="",J7="Open",J7="Pending review"),"Review required","Complete")))</x:f>
        <x:v>Review required</x:v>
      </x:c>
    </x:row>
    <x:row r="8" ht="48" customHeight="1">
      <x:c r="A8" s="16" t="str">
        <x:v>AT-04</x:v>
      </x:c>
      <x:c r="B8" s="16" t="str">
        <x:v>Process-related impurities</x:v>
      </x:c>
      <x:c r="C8" s="16" t="str">
        <x:v>IPC/release</x:v>
      </x:c>
      <x:c r="D8" s="16" t="str">
        <x:v>Controlled methods and standards</x:v>
      </x:c>
      <x:c r="E8" s="16" t="str">
        <x:v>Matrix, extraction, standards, instrument and site history</x:v>
      </x:c>
      <x:c r="F8" s="16" t="str">
        <x:v>Transfer/verification strategy by intended use</x:v>
      </x:c>
      <x:c r="G8" s="16" t="str">
        <x:v>Routine QC controls open</x:v>
      </x:c>
      <x:c r="H8" s="16" t="str">
        <x:v>EV-09</x:v>
      </x:c>
      <x:c r="I8" s="16" t="str">
        <x:v>Analytical/QC + process</x:v>
      </x:c>
      <x:c r="J8" s="16" t="str">
        <x:v>Pending review</x:v>
      </x:c>
      <x:c r="K8" s="16" t="str">
        <x:f>IF(OR(B8="",C8="",D8="",E8="",I8=""),"Incomplete",IF(H8="","Evidence required",IF(OR(J8="",J8="Open",J8="Pending review"),"Review required","Complete")))</x:f>
        <x:v>Review required</x:v>
      </x:c>
    </x:row>
    <x:row r="9" ht="48" customHeight="1">
      <x:c r="A9" s="17" t="str">
        <x:v>AT-05</x:v>
      </x:c>
      <x:c r="B9" s="17" t="str">
        <x:v>Reference and critical reagents</x:v>
      </x:c>
      <x:c r="C9" s="17" t="str">
        <x:v>Cross-method reportability</x:v>
      </x:c>
      <x:c r="D9" s="17" t="str">
        <x:v>Working-reference transition overlaps transfer</x:v>
      </x:c>
      <x:c r="E9" s="17" t="str">
        <x:v>Characterization, assigned property, stability, bridge and inventory</x:v>
      </x:c>
      <x:c r="F9" s="17" t="str">
        <x:v>Controlled transition plan</x:v>
      </x:c>
      <x:c r="G9" s="17" t="str">
        <x:v>Commutability/suitability not concluded</x:v>
      </x:c>
      <x:c r="H9" s="17" t="str">
        <x:v>EV-08</x:v>
      </x:c>
      <x:c r="I9" s="17" t="str">
        <x:v>Reference owner + Quality</x:v>
      </x:c>
      <x:c r="J9" s="17" t="str">
        <x:v>Pending review</x:v>
      </x:c>
      <x:c r="K9" s="17" t="str">
        <x:f>IF(OR(B9="",C9="",D9="",E9="",I9=""),"Incomplete",IF(H9="","Evidence required",IF(OR(J9="",J9="Open",J9="Pending review"),"Review required","Complete")))</x:f>
        <x:v>Review required</x:v>
      </x:c>
    </x:row>
  </x:sheetData>
  <x:mergeCells>
    <x:mergeCell ref="A1:K1"/>
    <x:mergeCell ref="A2:K2"/>
  </x:mergeCells>
  <x:conditionalFormatting sqref="K5:K9">
    <x:cfRule type="containsText" dxfId="16" priority="1" operator="containsText" text="Evidence required"/>
    <x:cfRule type="containsText" dxfId="17" priority="2" operator="containsText" text="Incomplete"/>
    <x:cfRule type="containsText" dxfId="18" priority="3" operator="containsText" text="Review required"/>
    <x:cfRule type="containsText" dxfId="19" priority="4" operator="containsText" text="Complete"/>
  </x:conditionalFormatting>
  <x:dataValidations count="1">
    <x:dataValidation type="list" sqref="J5:J9">
      <x:formula1>"Not started,In progress,Pending review,Accepted,Rejected,Deferred,Closed"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42" hidden="0" customWidth="1"/>
    <x:col min="4" max="4" width="44" hidden="0" customWidth="1"/>
    <x:col min="5" max="5" width="38" hidden="0" customWidth="1"/>
    <x:col min="6" max="6" width="24" hidden="0" customWidth="1"/>
    <x:col min="7" max="7" width="14" hidden="0" customWidth="1"/>
    <x:col min="8" max="8" width="32" hidden="0" customWidth="1"/>
    <x:col min="9" max="9" width="20" hidden="0" customWidth="1"/>
    <x:col min="10" max="10" width="20" hidden="0" customWidth="1"/>
  </x:cols>
  <x:sheetData>
    <x:row r="1" ht="32" customHeight="1">
      <x:c r="A1" s="3" t="str">
        <x:v>Validation &amp; Commitments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State the question each activity answers; execution evidence cannot silently close comparability, filing or routine readiness.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21" t="str">
        <x:v>ID</x:v>
      </x:c>
      <x:c r="B4" s="21" t="str">
        <x:v>Evidence gate</x:v>
      </x:c>
      <x:c r="C4" s="21" t="str">
        <x:v>Question answered</x:v>
      </x:c>
      <x:c r="D4" s="21" t="str">
        <x:v>Required basis</x:v>
      </x:c>
      <x:c r="E4" s="21" t="str">
        <x:v>Current state / limitation</x:v>
      </x:c>
      <x:c r="F4" s="21" t="str">
        <x:v>Decision interface</x:v>
      </x:c>
      <x:c r="G4" s="21" t="str">
        <x:v>Evidence ID</x:v>
      </x:c>
      <x:c r="H4" s="21" t="str">
        <x:v>Owner / reviewer</x:v>
      </x:c>
      <x:c r="I4" s="21" t="str">
        <x:v>Review state</x:v>
      </x:c>
      <x:c r="J4" s="21" t="str">
        <x:v>Status</x:v>
      </x:c>
    </x:row>
    <x:row r="5" ht="48" customHeight="1">
      <x:c r="A5" s="16" t="str">
        <x:v>VC-01</x:v>
      </x:c>
      <x:c r="B5" s="16" t="str">
        <x:v>Facility/equipment qualification</x:v>
      </x:c>
      <x:c r="C5" s="16" t="str">
        <x:v>Whether installed capability supports intended use</x:v>
      </x:c>
      <x:c r="D5" s="16" t="str">
        <x:v>Approved strategy, prerequisites, deviations and results</x:v>
      </x:c>
      <x:c r="E5" s="16" t="str">
        <x:v>Engineering execution pending</x:v>
      </x:c>
      <x:c r="F5" s="16" t="str">
        <x:v>Execution readiness</x:v>
      </x:c>
      <x:c r="G5" s="16" t="str">
        <x:v>EV-06</x:v>
      </x:c>
      <x:c r="H5" s="16" t="str">
        <x:v>Engineering/validation + Quality</x:v>
      </x:c>
      <x:c r="I5" s="16" t="str">
        <x:v>Pending review</x:v>
      </x:c>
      <x:c r="J5" s="16" t="str">
        <x:f>IF(OR(B5="",C5="",D5="",E5="",H5=""),"Incomplete",IF(G5="","Evidence required",IF(OR(I5="",I5="Open",I5="Pending review"),"Review required","Complete")))</x:f>
        <x:v>Review required</x:v>
      </x:c>
    </x:row>
    <x:row r="6" ht="48" customHeight="1">
      <x:c r="A6" s="16" t="str">
        <x:v>VC-02</x:v>
      </x:c>
      <x:c r="B6" s="16" t="str">
        <x:v>Process validation / qualification</x:v>
      </x:c>
      <x:c r="C6" s="16" t="str">
        <x:v>Whether the commercial process can operate reproducibly at the receiving site</x:v>
      </x:c>
      <x:c r="D6" s="16" t="str">
        <x:v>Product-specific lifecycle strategy and representative evidence</x:v>
      </x:c>
      <x:c r="E6" s="16" t="str">
        <x:v>Strategy not approved in fictional example</x:v>
      </x:c>
      <x:c r="F6" s="16" t="str">
        <x:v>Process readiness</x:v>
      </x:c>
      <x:c r="G6" s="16" t="str">
        <x:v>EV-10</x:v>
      </x:c>
      <x:c r="H6" s="16" t="str">
        <x:v>MSAT/validation + Quality</x:v>
      </x:c>
      <x:c r="I6" s="16" t="str">
        <x:v>Pending review</x:v>
      </x:c>
      <x:c r="J6" s="16" t="str">
        <x:f>IF(OR(B6="",C6="",D6="",E6="",H6=""),"Incomplete",IF(G6="","Evidence required",IF(OR(I6="",I6="Open",I6="Pending review"),"Review required","Complete")))</x:f>
        <x:v>Review required</x:v>
      </x:c>
    </x:row>
    <x:row r="7" ht="48" customHeight="1">
      <x:c r="A7" s="16" t="str">
        <x:v>VC-03</x:v>
      </x:c>
      <x:c r="B7" s="16" t="str">
        <x:v>Comparability</x:v>
      </x:c>
      <x:c r="C7" s="16" t="str">
        <x:v>Whether site/process changes adversely affect product quality/safety/efficacy bridge</x:v>
      </x:c>
      <x:c r="D7" s="16" t="str">
        <x:v>Pre/post material, sensitive analytics, process and stability evidence</x:v>
      </x:c>
      <x:c r="E7" s="16" t="str">
        <x:v>Representative set and conclusions open</x:v>
      </x:c>
      <x:c r="F7" s="16" t="str">
        <x:v>Product change</x:v>
      </x:c>
      <x:c r="G7" s="16" t="str">
        <x:v>EV-09</x:v>
      </x:c>
      <x:c r="H7" s="16" t="str">
        <x:v>Product quality + regulatory CMC</x:v>
      </x:c>
      <x:c r="I7" s="16" t="str">
        <x:v>Pending review</x:v>
      </x:c>
      <x:c r="J7" s="16" t="str">
        <x:f>IF(OR(B7="",C7="",D7="",E7="",H7=""),"Incomplete",IF(G7="","Evidence required",IF(OR(I7="",I7="Open",I7="Pending review"),"Review required","Complete")))</x:f>
        <x:v>Review required</x:v>
      </x:c>
    </x:row>
    <x:row r="8" ht="48" customHeight="1">
      <x:c r="A8" s="16" t="str">
        <x:v>VC-04</x:v>
      </x:c>
      <x:c r="B8" s="16" t="str">
        <x:v>Stability/transport/holds</x:v>
      </x:c>
      <x:c r="C8" s="16" t="str">
        <x:v>Whether transferred conditions preserve relevant product quality</x:v>
      </x:c>
      <x:c r="D8" s="16" t="str">
        <x:v>Approved studies, representative material and commitments</x:v>
      </x:c>
      <x:c r="E8" s="16" t="str">
        <x:v>Commitments open</x:v>
      </x:c>
      <x:c r="F8" s="16" t="str">
        <x:v>Lifecycle evidence</x:v>
      </x:c>
      <x:c r="G8" s="16" t="str">
        <x:v>EV-10</x:v>
      </x:c>
      <x:c r="H8" s="16" t="str">
        <x:v>Stability/validation + regulatory</x:v>
      </x:c>
      <x:c r="I8" s="16" t="str">
        <x:v>Pending review</x:v>
      </x:c>
      <x:c r="J8" s="16" t="str">
        <x:f>IF(OR(B8="",C8="",D8="",E8="",H8=""),"Incomplete",IF(G8="","Evidence required",IF(OR(I8="",I8="Open",I8="Pending review"),"Review required","Complete")))</x:f>
        <x:v>Review required</x:v>
      </x:c>
    </x:row>
    <x:row r="9" ht="48" customHeight="1">
      <x:c r="A9" s="17" t="str">
        <x:v>VC-05</x:v>
      </x:c>
      <x:c r="B9" s="17" t="str">
        <x:v>Regulatory and routine implementation</x:v>
      </x:c>
      <x:c r="C9" s="17" t="str">
        <x:v>Whether market obligations and site systems permit intended operation</x:v>
      </x:c>
      <x:c r="D9" s="17" t="str">
        <x:v>Regional assessment, implementation evidence, continued verification and residual actions</x:v>
      </x:c>
      <x:c r="E9" s="17" t="str">
        <x:v>Markets and filing pathway unconfirmed</x:v>
      </x:c>
      <x:c r="F9" s="17" t="str">
        <x:v>Routine readiness</x:v>
      </x:c>
      <x:c r="G9" s="17" t="str">
        <x:v>EV-10</x:v>
      </x:c>
      <x:c r="H9" s="17" t="str">
        <x:v>Regulatory CMC + Quality</x:v>
      </x:c>
      <x:c r="I9" s="17" t="str">
        <x:v>Pending review</x:v>
      </x:c>
      <x:c r="J9" s="17" t="str">
        <x:f>IF(OR(B9="",C9="",D9="",E9="",H9=""),"Incomplete",IF(G9="","Evidence required",IF(OR(I9="",I9="Open",I9="Pending review"),"Review required","Complete")))</x:f>
        <x:v>Review required</x:v>
      </x:c>
    </x:row>
  </x:sheetData>
  <x:mergeCells>
    <x:mergeCell ref="A1:J1"/>
    <x:mergeCell ref="A2:J2"/>
  </x:mergeCells>
  <x:conditionalFormatting sqref="J5:J9">
    <x:cfRule type="containsText" dxfId="20" priority="1" operator="containsText" text="Evidence required"/>
    <x:cfRule type="containsText" dxfId="21" priority="2" operator="containsText" text="Incomplete"/>
    <x:cfRule type="containsText" dxfId="22" priority="3" operator="containsText" text="Review required"/>
    <x:cfRule type="containsText" dxfId="23" priority="4" operator="containsText" text="Complete"/>
  </x:conditionalFormatting>
  <x:dataValidations count="1">
    <x:dataValidation type="list" sqref="I5:I9">
      <x:formula1>"Not started,In progress,Pending review,Accepted,Rejected,Deferred,Closed"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8" hidden="0" customWidth="1"/>
    <x:col min="4" max="4" width="34" hidden="0" customWidth="1"/>
    <x:col min="5" max="5" width="18" hidden="0" customWidth="1"/>
    <x:col min="6" max="6" width="28" hidden="0" customWidth="1"/>
    <x:col min="7" max="7" width="44" hidden="0" customWidth="1"/>
    <x:col min="8" max="8" width="26" hidden="0" customWidth="1"/>
    <x:col min="9" max="9" width="20" hidden="0" customWidth="1"/>
    <x:col min="10" max="10" width="20" hidden="0" customWidth="1"/>
  </x:cols>
  <x:sheetData>
    <x:row r="1" ht="32" customHeight="1">
      <x:c r="A1" s="3" t="str">
        <x:v>Evidence Register</x:v>
      </x:c>
      <x:c r="B1" s="3"/>
      <x:c r="C1" s="3"/>
      <x:c r="D1" s="3"/>
      <x:c r="E1" s="3"/>
      <x:c r="F1" s="3"/>
      <x:c r="G1" s="3"/>
      <x:c r="H1" s="3"/>
      <x:c r="I1" s="3"/>
      <x:c r="J1" s="3"/>
    </x:row>
    <x:row r="2" ht="32" customHeight="1">
      <x:c r="A2" s="7" t="str">
        <x:v>Each evidence object needs a controlled identifier, locator, version, applicability, limitation, owner and review state.</x:v>
      </x:c>
      <x:c r="B2" s="7"/>
      <x:c r="C2" s="7"/>
      <x:c r="D2" s="7"/>
      <x:c r="E2" s="7"/>
      <x:c r="F2" s="7"/>
      <x:c r="G2" s="7"/>
      <x:c r="H2" s="7"/>
      <x:c r="I2" s="7"/>
      <x:c r="J2" s="7"/>
    </x:row>
    <x:row r="4" ht="30" customHeight="1">
      <x:c r="A4" s="21" t="str">
        <x:v>ID</x:v>
      </x:c>
      <x:c r="B4" s="21" t="str">
        <x:v>Evidence object</x:v>
      </x:c>
      <x:c r="C4" s="21" t="str">
        <x:v>Source / document ID</x:v>
      </x:c>
      <x:c r="D4" s="21" t="str">
        <x:v>Controlled locator</x:v>
      </x:c>
      <x:c r="E4" s="21" t="str">
        <x:v>Version / date</x:v>
      </x:c>
      <x:c r="F4" s="21" t="str">
        <x:v>Applies to</x:v>
      </x:c>
      <x:c r="G4" s="21" t="str">
        <x:v>Limitation</x:v>
      </x:c>
      <x:c r="H4" s="21" t="str">
        <x:v>Owner</x:v>
      </x:c>
      <x:c r="I4" s="21" t="str">
        <x:v>Review state</x:v>
      </x:c>
      <x:c r="J4" s="21" t="str">
        <x:v>Status</x:v>
      </x:c>
    </x:row>
    <x:row r="5" ht="48" customHeight="1">
      <x:c r="A5" s="16" t="str">
        <x:v>EV-01</x:v>
      </x:c>
      <x:c r="B5" s="16" t="str">
        <x:v>Controlled transfer charter</x:v>
      </x:c>
      <x:c r="C5" s="16" t="str">
        <x:v>FICT-TT-CHARTER-001</x:v>
      </x:c>
      <x:c r="D5" s="16" t="str">
        <x:v>Controlled repository / fictional</x:v>
      </x:c>
      <x:c r="E5" s="16" t="str">
        <x:v>Rev A</x:v>
      </x:c>
      <x:c r="F5" s="16" t="str">
        <x:v>SG-01; SG-02</x:v>
      </x:c>
      <x:c r="G5" s="16" t="str">
        <x:v>Fictional scope; market applicability unconfirmed</x:v>
      </x:c>
      <x:c r="H5" s="16" t="str">
        <x:v>Transfer lead</x:v>
      </x:c>
      <x:c r="I5" s="16" t="str">
        <x:v>Pending review</x:v>
      </x:c>
      <x:c r="J5" s="16" t="str">
        <x:f>IF(OR(B5="",C5="",D5="",E5="",F5="",G5="",H5=""),"Incomplete",IF(C5="","Evidence required",IF(OR(I5="",I5="Open",I5="Pending review"),"Review required","Complete")))</x:f>
        <x:v>Review required</x:v>
      </x:c>
    </x:row>
    <x:row r="6" ht="48" customHeight="1">
      <x:c r="A6" s="16" t="str">
        <x:v>EV-02</x:v>
      </x:c>
      <x:c r="B6" s="16" t="str">
        <x:v>Change and authority record</x:v>
      </x:c>
      <x:c r="C6" s="16" t="str">
        <x:v>FICT-CC-001</x:v>
      </x:c>
      <x:c r="D6" s="16" t="str">
        <x:v>Controlled repository / fictional</x:v>
      </x:c>
      <x:c r="E6" s="16" t="str">
        <x:v>Rev A</x:v>
      </x:c>
      <x:c r="F6" s="16" t="str">
        <x:v>SG-03; SG-04</x:v>
      </x:c>
      <x:c r="G6" s="16" t="str">
        <x:v>No authorization implied</x:v>
      </x:c>
      <x:c r="H6" s="16" t="str">
        <x:v>Quality Unit</x:v>
      </x:c>
      <x:c r="I6" s="16" t="str">
        <x:v>Pending review</x:v>
      </x:c>
      <x:c r="J6" s="16" t="str">
        <x:f>IF(OR(B6="",C6="",D6="",E6="",F6="",G6="",H6=""),"Incomplete",IF(C6="","Evidence required",IF(OR(I6="",I6="Open",I6="Pending review"),"Review required","Complete")))</x:f>
        <x:v>Review required</x:v>
      </x:c>
    </x:row>
    <x:row r="7" ht="48" customHeight="1">
      <x:c r="A7" s="16" t="str">
        <x:v>EV-03</x:v>
      </x:c>
      <x:c r="B7" s="16" t="str">
        <x:v>RACI and acceptance-gate register</x:v>
      </x:c>
      <x:c r="C7" s="16" t="str">
        <x:v>FICT-TT-GOV-001</x:v>
      </x:c>
      <x:c r="D7" s="16" t="str">
        <x:v>Controlled repository / fictional</x:v>
      </x:c>
      <x:c r="E7" s="16" t="str">
        <x:v>Rev A</x:v>
      </x:c>
      <x:c r="F7" s="16" t="str">
        <x:v>SG-05; SG-06</x:v>
      </x:c>
      <x:c r="G7" s="16" t="str">
        <x:v>Conditional gates remain open</x:v>
      </x:c>
      <x:c r="H7" s="16" t="str">
        <x:v>Transfer lead</x:v>
      </x:c>
      <x:c r="I7" s="16" t="str">
        <x:v>Pending review</x:v>
      </x:c>
      <x:c r="J7" s="16" t="str">
        <x:f>IF(OR(B7="",C7="",D7="",E7="",F7="",G7="",H7=""),"Incomplete",IF(C7="","Evidence required",IF(OR(I7="",I7="Open",I7="Pending review"),"Review required","Complete")))</x:f>
        <x:v>Review required</x:v>
      </x:c>
    </x:row>
    <x:row r="8" ht="48" customHeight="1">
      <x:c r="A8" s="16" t="str">
        <x:v>EV-04</x:v>
      </x:c>
      <x:c r="B8" s="16" t="str">
        <x:v>Development/process knowledge index</x:v>
      </x:c>
      <x:c r="C8" s="16" t="str">
        <x:v>FICT-KP-001</x:v>
      </x:c>
      <x:c r="D8" s="16" t="str">
        <x:v>Controlled repository / fictional</x:v>
      </x:c>
      <x:c r="E8" s="16" t="str">
        <x:v>Rev A</x:v>
      </x:c>
      <x:c r="F8" s="16" t="str">
        <x:v>KP-01; KP-02; PM-01</x:v>
      </x:c>
      <x:c r="G8" s="16" t="str">
        <x:v>No product-specific range or causality conclusion</x:v>
      </x:c>
      <x:c r="H8" s="16" t="str">
        <x:v>Process development</x:v>
      </x:c>
      <x:c r="I8" s="16" t="str">
        <x:v>Pending review</x:v>
      </x:c>
      <x:c r="J8" s="16" t="str">
        <x:f>IF(OR(B8="",C8="",D8="",E8="",F8="",G8="",H8=""),"Incomplete",IF(C8="","Evidence required",IF(OR(I8="",I8="Open",I8="Pending review"),"Review required","Complete")))</x:f>
        <x:v>Review required</x:v>
      </x:c>
    </x:row>
    <x:row r="9" ht="48" customHeight="1">
      <x:c r="A9" s="16" t="str">
        <x:v>EV-05</x:v>
      </x:c>
      <x:c r="B9" s="16" t="str">
        <x:v>Manufacturing history and control map</x:v>
      </x:c>
      <x:c r="C9" s="16" t="str">
        <x:v>FICT-HIST-001</x:v>
      </x:c>
      <x:c r="D9" s="16" t="str">
        <x:v>Controlled repository / fictional</x:v>
      </x:c>
      <x:c r="E9" s="16" t="str">
        <x:v>Rev A</x:v>
      </x:c>
      <x:c r="F9" s="16" t="str">
        <x:v>KP-03; KP-04; PM-02</x:v>
      </x:c>
      <x:c r="G9" s="16" t="str">
        <x:v>Selected fictional history only</x:v>
      </x:c>
      <x:c r="H9" s="16" t="str">
        <x:v>MSAT/Quality</x:v>
      </x:c>
      <x:c r="I9" s="16" t="str">
        <x:v>Pending review</x:v>
      </x:c>
      <x:c r="J9" s="16" t="str">
        <x:f>IF(OR(B9="",C9="",D9="",E9="",F9="",G9="",H9=""),"Incomplete",IF(C9="","Evidence required",IF(OR(I9="",I9="Open",I9="Pending review"),"Review required","Complete")))</x:f>
        <x:v>Review required</x:v>
      </x:c>
    </x:row>
    <x:row r="10" ht="48" customHeight="1">
      <x:c r="A10" s="16" t="str">
        <x:v>EV-06</x:v>
      </x:c>
      <x:c r="B10" s="16" t="str">
        <x:v>Functional equipment and utility gap assessment</x:v>
      </x:c>
      <x:c r="C10" s="16" t="str">
        <x:v>FICT-FE-001</x:v>
      </x:c>
      <x:c r="D10" s="16" t="str">
        <x:v>Controlled repository / fictional</x:v>
      </x:c>
      <x:c r="E10" s="16" t="str">
        <x:v>Rev A</x:v>
      </x:c>
      <x:c r="F10" s="16" t="str">
        <x:v>FE-01 to FE-03; PM-03</x:v>
      </x:c>
      <x:c r="G10" s="16" t="str">
        <x:v>No equivalence or qualification conclusion</x:v>
      </x:c>
      <x:c r="H10" s="16" t="str">
        <x:v>Engineering/MSAT</x:v>
      </x:c>
      <x:c r="I10" s="16" t="str">
        <x:v>Pending review</x:v>
      </x:c>
      <x:c r="J10" s="16" t="str">
        <x:f>IF(OR(B10="",C10="",D10="",E10="",F10="",G10="",H10=""),"Incomplete",IF(C10="","Evidence required",IF(OR(I10="",I10="Open",I10="Pending review"),"Review required","Complete")))</x:f>
        <x:v>Review required</x:v>
      </x:c>
    </x:row>
    <x:row r="11" ht="48" customHeight="1">
      <x:c r="A11" s="16" t="str">
        <x:v>EV-07</x:v>
      </x:c>
      <x:c r="B11" s="16" t="str">
        <x:v>Automation, data and operational readiness assessment</x:v>
      </x:c>
      <x:c r="C11" s="16" t="str">
        <x:v>FICT-AUTO-001</x:v>
      </x:c>
      <x:c r="D11" s="16" t="str">
        <x:v>Controlled repository / fictional</x:v>
      </x:c>
      <x:c r="E11" s="16" t="str">
        <x:v>Rev A</x:v>
      </x:c>
      <x:c r="F11" s="16" t="str">
        <x:v>FE-04 to FE-06</x:v>
      </x:c>
      <x:c r="G11" s="16" t="str">
        <x:v>No validation or data-integrity conclusion</x:v>
      </x:c>
      <x:c r="H11" s="16" t="str">
        <x:v>Automation/Quality</x:v>
      </x:c>
      <x:c r="I11" s="16" t="str">
        <x:v>Pending review</x:v>
      </x:c>
      <x:c r="J11" s="16" t="str">
        <x:f>IF(OR(B11="",C11="",D11="",E11="",F11="",G11="",H11=""),"Incomplete",IF(C11="","Evidence required",IF(OR(I11="",I11="Open",I11="Pending review"),"Review required","Complete")))</x:f>
        <x:v>Review required</x:v>
      </x:c>
    </x:row>
    <x:row r="12" ht="48" customHeight="1">
      <x:c r="A12" s="16" t="str">
        <x:v>EV-08</x:v>
      </x:c>
      <x:c r="B12" s="16" t="str">
        <x:v>Analytical method/reference transfer package</x:v>
      </x:c>
      <x:c r="C12" s="16" t="str">
        <x:v>FICT-AT-001</x:v>
      </x:c>
      <x:c r="D12" s="16" t="str">
        <x:v>Controlled repository / fictional</x:v>
      </x:c>
      <x:c r="E12" s="16" t="str">
        <x:v>Rev A</x:v>
      </x:c>
      <x:c r="F12" s="16" t="str">
        <x:v>KP-05; AT-01; AT-02; AT-05</x:v>
      </x:c>
      <x:c r="G12" s="16" t="str">
        <x:v>No method equivalence or transfer acceptance</x:v>
      </x:c>
      <x:c r="H12" s="16" t="str">
        <x:v>Analytical/QC</x:v>
      </x:c>
      <x:c r="I12" s="16" t="str">
        <x:v>Pending review</x:v>
      </x:c>
      <x:c r="J12" s="16" t="str">
        <x:f>IF(OR(B12="",C12="",D12="",E12="",F12="",G12="",H12=""),"Incomplete",IF(C12="","Evidence required",IF(OR(I12="",I12="Open",I12="Pending review"),"Review required","Complete")))</x:f>
        <x:v>Review required</x:v>
      </x:c>
    </x:row>
    <x:row r="13" ht="48" customHeight="1">
      <x:c r="A13" s="16" t="str">
        <x:v>EV-09</x:v>
      </x:c>
      <x:c r="B13" s="16" t="str">
        <x:v>Comparability question-and-evidence plan</x:v>
      </x:c>
      <x:c r="C13" s="16" t="str">
        <x:v>FICT-COMP-001</x:v>
      </x:c>
      <x:c r="D13" s="16" t="str">
        <x:v>Controlled repository / fictional</x:v>
      </x:c>
      <x:c r="E13" s="16" t="str">
        <x:v>Rev A</x:v>
      </x:c>
      <x:c r="F13" s="16" t="str">
        <x:v>PM-04; AT-03; AT-04; VC-03</x:v>
      </x:c>
      <x:c r="G13" s="16" t="str">
        <x:v>No comparability conclusion</x:v>
      </x:c>
      <x:c r="H13" s="16" t="str">
        <x:v>Product quality/Regulatory</x:v>
      </x:c>
      <x:c r="I13" s="16" t="str">
        <x:v>Pending review</x:v>
      </x:c>
      <x:c r="J13" s="16" t="str">
        <x:f>IF(OR(B13="",C13="",D13="",E13="",F13="",G13="",H13=""),"Incomplete",IF(C13="","Evidence required",IF(OR(I13="",I13="Open",I13="Pending review"),"Review required","Complete")))</x:f>
        <x:v>Review required</x:v>
      </x:c>
    </x:row>
    <x:row r="14" ht="48" customHeight="1">
      <x:c r="A14" s="17" t="str">
        <x:v>EV-10</x:v>
      </x:c>
      <x:c r="B14" s="17" t="str">
        <x:v>Validation, stability and commitments matrix</x:v>
      </x:c>
      <x:c r="C14" s="17" t="str">
        <x:v>FICT-VAL-001</x:v>
      </x:c>
      <x:c r="D14" s="17" t="str">
        <x:v>Controlled repository / fictional</x:v>
      </x:c>
      <x:c r="E14" s="17" t="str">
        <x:v>Rev A</x:v>
      </x:c>
      <x:c r="F14" s="17" t="str">
        <x:v>KP-06; PM-05; PM-06; VC-01 to VC-05</x:v>
      </x:c>
      <x:c r="G14" s="17" t="str">
        <x:v>Strategies and commitments remain open</x:v>
      </x:c>
      <x:c r="H14" s="17" t="str">
        <x:v>Validation/Regulatory/Quality</x:v>
      </x:c>
      <x:c r="I14" s="17" t="str">
        <x:v>Pending review</x:v>
      </x:c>
      <x:c r="J14" s="17" t="str">
        <x:f>IF(OR(B14="",C14="",D14="",E14="",F14="",G14="",H14=""),"Incomplete",IF(C14="","Evidence required",IF(OR(I14="",I14="Open",I14="Pending review"),"Review required","Complete")))</x:f>
        <x:v>Review required</x:v>
      </x:c>
    </x:row>
  </x:sheetData>
  <x:mergeCells>
    <x:mergeCell ref="A1:J1"/>
    <x:mergeCell ref="A2:J2"/>
  </x:mergeCells>
  <x:conditionalFormatting sqref="J5:J14">
    <x:cfRule type="containsText" dxfId="24" priority="1" operator="containsText" text="Evidence required"/>
    <x:cfRule type="containsText" dxfId="25" priority="2" operator="containsText" text="Incomplete"/>
    <x:cfRule type="containsText" dxfId="26" priority="3" operator="containsText" text="Review required"/>
    <x:cfRule type="containsText" dxfId="27" priority="4" operator="containsText" text="Complete"/>
  </x:conditionalFormatting>
  <x:dataValidations count="1">
    <x:dataValidation type="list" sqref="I5:I14">
      <x:formula1>"Not started,In progress,Pending review,Accepted,Rejected,Deferred,Closed"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42" hidden="0" customWidth="1"/>
    <x:col min="3" max="3" width="28" hidden="0" customWidth="1"/>
    <x:col min="4" max="4" width="36" hidden="0" customWidth="1"/>
    <x:col min="5" max="5" width="14" hidden="0" customWidth="1"/>
    <x:col min="6" max="6" width="26" hidden="0" customWidth="1"/>
    <x:col min="7" max="7" width="18" hidden="0" customWidth="1"/>
    <x:col min="8" max="8" width="46" hidden="0" customWidth="1"/>
  </x:cols>
  <x:sheetData>
    <x:row r="1" ht="32" customHeight="1">
      <x:c r="A1" s="3" t="str">
        <x:v>Review &amp; Actions</x:v>
      </x:c>
      <x:c r="B1" s="3"/>
      <x:c r="C1" s="3"/>
      <x:c r="D1" s="3"/>
      <x:c r="E1" s="3"/>
      <x:c r="F1" s="3"/>
      <x:c r="G1" s="3"/>
      <x:c r="H1" s="3"/>
    </x:row>
    <x:row r="2" ht="32" customHeight="1">
      <x:c r="A2" s="7" t="str">
        <x:v>An action closes only with its evidence and authorized decision; due-date or protocol completion alone is insufficient.</x:v>
      </x:c>
      <x:c r="B2" s="7"/>
      <x:c r="C2" s="7"/>
      <x:c r="D2" s="7"/>
      <x:c r="E2" s="7"/>
      <x:c r="F2" s="7"/>
      <x:c r="G2" s="7"/>
      <x:c r="H2" s="7"/>
    </x:row>
    <x:row r="4" ht="30" customHeight="1">
      <x:c r="A4" s="21" t="str">
        <x:v>Action ID</x:v>
      </x:c>
      <x:c r="B4" s="21" t="str">
        <x:v>Action / decision</x:v>
      </x:c>
      <x:c r="C4" s="21" t="str">
        <x:v>Linked IDs</x:v>
      </x:c>
      <x:c r="D4" s="21" t="str">
        <x:v>Owner / reviewer</x:v>
      </x:c>
      <x:c r="E4" s="21" t="str">
        <x:v>Risk</x:v>
      </x:c>
      <x:c r="F4" s="21" t="str">
        <x:v>Due gate</x:v>
      </x:c>
      <x:c r="G4" s="21" t="str">
        <x:v>Status</x:v>
      </x:c>
      <x:c r="H4" s="21" t="str">
        <x:v>Closure evidence / acceptance</x:v>
      </x:c>
    </x:row>
    <x:row r="5" ht="48" customHeight="1">
      <x:c r="A5" s="16" t="str">
        <x:v>ACT-01</x:v>
      </x:c>
      <x:c r="B5" s="16" t="str">
        <x:v>Resolve upstream equipment/control differences</x:v>
      </x:c>
      <x:c r="C5" s="16" t="str">
        <x:v>FE-01; PM-01</x:v>
      </x:c>
      <x:c r="D5" s="16" t="str">
        <x:v>Upstream/MSAT + automation</x:v>
      </x:c>
      <x:c r="E5" s="16" t="str">
        <x:v>High</x:v>
      </x:c>
      <x:c r="F5" s="16" t="str">
        <x:v>Before execution readiness</x:v>
      </x:c>
      <x:c r="G5" s="16" t="str">
        <x:v>Open</x:v>
      </x:c>
      <x:c r="H5" s="16" t="str">
        <x:v>Qualified assessment and approved evidence reference</x:v>
      </x:c>
    </x:row>
    <x:row r="6" ht="48" customHeight="1">
      <x:c r="A6" s="16" t="str">
        <x:v>ACT-02</x:v>
      </x:c>
      <x:c r="B6" s="16" t="str">
        <x:v>Close downstream skid/geometry and hold assessment</x:v>
      </x:c>
      <x:c r="C6" s="16" t="str">
        <x:v>FE-02; PM-03; PM-04</x:v>
      </x:c>
      <x:c r="D6" s="16" t="str">
        <x:v>Downstream/MSAT + engineering</x:v>
      </x:c>
      <x:c r="E6" s="16" t="str">
        <x:v>High</x:v>
      </x:c>
      <x:c r="F6" s="16" t="str">
        <x:v>Before representative execution</x:v>
      </x:c>
      <x:c r="G6" s="16" t="str">
        <x:v>Open</x:v>
      </x:c>
      <x:c r="H6" s="16" t="str">
        <x:v>Reviewed functional fit and bridging evidence</x:v>
      </x:c>
    </x:row>
    <x:row r="7" ht="48" customHeight="1">
      <x:c r="A7" s="16" t="str">
        <x:v>ACT-03</x:v>
      </x:c>
      <x:c r="B7" s="16" t="str">
        <x:v>Complete potency/reference receiving-lab evidence</x:v>
      </x:c>
      <x:c r="C7" s="16" t="str">
        <x:v>AT-01; AT-05</x:v>
      </x:c>
      <x:c r="D7" s="16" t="str">
        <x:v>Analytical/QC + statistics + reference owner</x:v>
      </x:c>
      <x:c r="E7" s="16" t="str">
        <x:v>High</x:v>
      </x:c>
      <x:c r="F7" s="16" t="str">
        <x:v>Before analytical readiness</x:v>
      </x:c>
      <x:c r="G7" s="16" t="str">
        <x:v>Open</x:v>
      </x:c>
      <x:c r="H7" s="16" t="str">
        <x:v>Approved transfer/bridge outcome and reportability controls</x:v>
      </x:c>
    </x:row>
    <x:row r="8" ht="48" customHeight="1">
      <x:c r="A8" s="16" t="str">
        <x:v>ACT-04</x:v>
      </x:c>
      <x:c r="B8" s="16" t="str">
        <x:v>Approve comparability, validation and stability strategies</x:v>
      </x:c>
      <x:c r="C8" s="16" t="str">
        <x:v>VC-02; VC-03; VC-04</x:v>
      </x:c>
      <x:c r="D8" s="16" t="str">
        <x:v>Validation + product quality + regulatory CMC + Quality</x:v>
      </x:c>
      <x:c r="E8" s="16" t="str">
        <x:v>Critical</x:v>
      </x:c>
      <x:c r="F8" s="16" t="str">
        <x:v>Before transfer acceptance</x:v>
      </x:c>
      <x:c r="G8" s="16" t="str">
        <x:v>Open</x:v>
      </x:c>
      <x:c r="H8" s="16" t="str">
        <x:v>Controlled strategies, results/deviations and residual commitments</x:v>
      </x:c>
    </x:row>
    <x:row r="9" ht="48" customHeight="1">
      <x:c r="A9" s="17" t="str">
        <x:v>ACT-05</x:v>
      </x:c>
      <x:c r="B9" s="17" t="str">
        <x:v>Confirm markets, implementation and routine-readiness owners</x:v>
      </x:c>
      <x:c r="C9" s="17" t="str">
        <x:v>VC-05</x:v>
      </x:c>
      <x:c r="D9" s="17" t="str">
        <x:v>Regulatory CMC + Quality + manufacturing</x:v>
      </x:c>
      <x:c r="E9" s="17" t="str">
        <x:v>High</x:v>
      </x:c>
      <x:c r="F9" s="17" t="str">
        <x:v>Before routine operation</x:v>
      </x:c>
      <x:c r="G9" s="17" t="str">
        <x:v>Open</x:v>
      </x:c>
      <x:c r="H9" s="17" t="str">
        <x:v>Regional decisions and continued-verification ownership</x:v>
      </x:c>
    </x:row>
  </x:sheetData>
  <x:mergeCells>
    <x:mergeCell ref="A1:H1"/>
    <x:mergeCell ref="A2:H2"/>
  </x:mergeCells>
  <x:conditionalFormatting sqref="G5:G9">
    <x:cfRule type="containsText" dxfId="28" priority="1" operator="containsText" text="Open"/>
    <x:cfRule type="containsText" dxfId="29" priority="2" operator="containsText" text="Closed"/>
  </x:conditionalFormatting>
  <x:dataValidations count="2">
    <x:dataValidation type="list" sqref="E5:E9">
      <x:formula1>"Low,Medium,High,Critical"</x:formula1>
    </x:dataValidation>
    <x:dataValidation type="list" sqref="G5:G9">
      <x:formula1>"Not started,In progress,Pending review,Accepted,Rejected,Deferred,Closed"</x:formula1>
    </x:dataValidation>
  </x:dataValidation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6" hidden="0" customWidth="1"/>
    <x:col min="3" max="3" width="50" hidden="0" customWidth="1"/>
    <x:col min="4" max="4" width="18" hidden="0" customWidth="1"/>
    <x:col min="5" max="5" width="65" hidden="0" customWidth="1"/>
    <x:col min="6" max="6" width="58" hidden="0" customWidth="1"/>
  </x:cols>
  <x:sheetData>
    <x:row r="1" ht="32" customHeight="1">
      <x:c r="A1" s="3" t="str">
        <x:v>Sources &amp; Control</x:v>
      </x:c>
      <x:c r="B1" s="3"/>
      <x:c r="C1" s="3"/>
      <x:c r="D1" s="3"/>
      <x:c r="E1" s="3"/>
      <x:c r="F1" s="3"/>
    </x:row>
    <x:row r="2" ht="32" customHeight="1">
      <x:c r="A2" s="7" t="str">
        <x:v>Official-source links, document control, applicability, limitations and review ownership.</x:v>
      </x:c>
      <x:c r="B2" s="7"/>
      <x:c r="C2" s="7"/>
      <x:c r="D2" s="7"/>
      <x:c r="E2" s="7"/>
      <x:c r="F2" s="7"/>
    </x:row>
    <x:row r="4">
      <x:c r="A4" s="30" t="str">
        <x:v>Control field</x:v>
      </x:c>
      <x:c r="B4" s="30" t="str">
        <x:v>Value</x:v>
      </x:c>
      <x:c r="C4" s="28"/>
      <x:c r="D4" s="28"/>
      <x:c r="E4" s="28"/>
      <x:c r="F4" s="28"/>
    </x:row>
    <x:row r="5" ht="48" customHeight="1">
      <x:c r="A5" s="31" t="str">
        <x:v>Package version</x:v>
      </x:c>
      <x:c r="B5" s="32" t="str">
        <x:v>1.0.0-review</x:v>
      </x:c>
    </x:row>
    <x:row r="6" ht="48" customHeight="1">
      <x:c r="A6" s="31" t="str">
        <x:v>Review status</x:v>
      </x:c>
      <x:c r="B6" s="32" t="str">
        <x:v>Under review</x:v>
      </x:c>
    </x:row>
    <x:row r="7" ht="48" customHeight="1">
      <x:c r="A7" s="31" t="str">
        <x:v>Applicability and limitations</x:v>
      </x:c>
      <x:c r="B7" s="32" t="str">
        <x:v>Protein-biologics transfer evidence mapping; adapt to product, modality, site, market and authorized systems. No parameters, ranges, acceptance criteria, batch counts, validation design, filing category or approval.</x:v>
      </x:c>
    </x:row>
    <x:row r="8" ht="48" customHeight="1">
      <x:c r="A8" s="31" t="str">
        <x:v>Decision boundary</x:v>
      </x:c>
      <x:c r="B8" s="32" t="str">
        <x:v>Transfer readiness, execution authorization, analytical transfer, comparability, validation, regulatory implementation, routine readiness and acceptance remain distinct.</x:v>
      </x:c>
    </x:row>
    <x:row r="9" ht="48" customHeight="1">
      <x:c r="A9" s="31" t="str">
        <x:v>Reviewed by role</x:v>
      </x:c>
      <x:c r="B9" s="32" t="str">
        <x:v>Transfer lead; product/process development; MSAT/manufacturing; engineering/automation; analytical/QC/statistics; materials/supply; validation; Quality Unit; regulatory CMC; EHS/biosafety as applicable.</x:v>
      </x:c>
    </x:row>
    <x:row r="10" ht="48" customHeight="1">
      <x:c r="A10" s="31" t="str">
        <x:v>Review record</x:v>
      </x:c>
      <x:c r="B10" s="32" t="str">
        <x:v>No qualified review recorded. Do not represent as SME-reviewed, validated, inspection-ready, transfer-accepted, routine-ready or regulator-approved.</x:v>
      </x:c>
    </x:row>
    <x:row r="12" ht="30" customHeight="1">
      <x:c r="A12" s="21" t="str">
        <x:v>Source ID</x:v>
      </x:c>
      <x:c r="B12" s="21" t="str">
        <x:v>Publisher</x:v>
      </x:c>
      <x:c r="C12" s="21" t="str">
        <x:v>Title</x:v>
      </x:c>
      <x:c r="D12" s="21" t="str">
        <x:v>Edition/status</x:v>
      </x:c>
      <x:c r="E12" s="21" t="str">
        <x:v>Official URL</x:v>
      </x:c>
      <x:c r="F12" s="21" t="str">
        <x:v>Licensing / applicability boundary</x:v>
      </x:c>
    </x:row>
    <x:row r="13" ht="54" customHeight="1">
      <x:c r="A13" s="16" t="str">
        <x:v>WHO-TRS-1044-ANNEX4</x:v>
      </x:c>
      <x:c r="B13" s="16" t="str">
        <x:v>WHO</x:v>
      </x:c>
      <x:c r="C13" s="16" t="str">
        <x:v>Technology transfer in pharmaceutical manufacturing, TRS 1044 Annex 4</x:v>
      </x:c>
      <x:c r="D13" s="16" t="str">
        <x:v>2022</x:v>
      </x:c>
      <x:c r="E13" s="16" t="str">
        <x:v>https://www.who.int/publications/m/item/trs1044-annex4</x:v>
      </x:c>
      <x:c r="F13" s="16" t="str">
        <x:v>General transfer guidance; adapt case by case and do not infer product-specific criteria.</x:v>
      </x:c>
    </x:row>
    <x:row r="14" ht="54" customHeight="1">
      <x:c r="A14" s="16" t="str">
        <x:v>ICH-Q10</x:v>
      </x:c>
      <x:c r="B14" s="16" t="str">
        <x:v>ICH</x:v>
      </x:c>
      <x:c r="C14" s="16" t="str">
        <x:v>Pharmaceutical Quality System Q10</x:v>
      </x:c>
      <x:c r="D14" s="16" t="str">
        <x:v>Step 4</x:v>
      </x:c>
      <x:c r="E14" s="16" t="str">
        <x:v>https://database.ich.org/sites/default/files/Q10_Guideline.pdf</x:v>
      </x:c>
      <x:c r="F14" s="16" t="str">
        <x:v>PQS and knowledge-management context; not transfer or site approval.</x:v>
      </x:c>
    </x:row>
    <x:row r="15" ht="54" customHeight="1">
      <x:c r="A15" s="16" t="str">
        <x:v>ICH-Q9-R1</x:v>
      </x:c>
      <x:c r="B15" s="16" t="str">
        <x:v>ICH</x:v>
      </x:c>
      <x:c r="C15" s="16" t="str">
        <x:v>Quality Risk Management Q9(R1)</x:v>
      </x:c>
      <x:c r="D15" s="16" t="str">
        <x:v>Step 4</x:v>
      </x:c>
      <x:c r="E15" s="16" t="str">
        <x:v>https://database.ich.org/sites/default/files/ICH_Q9-R1_Guideline_Step4_2022_1219.pdf</x:v>
      </x:c>
      <x:c r="F15" s="16" t="str">
        <x:v>Risk ranking does not create missing evidence or authorization.</x:v>
      </x:c>
    </x:row>
    <x:row r="16" ht="54" customHeight="1">
      <x:c r="A16" s="16" t="str">
        <x:v>ICH-Q5E</x:v>
      </x:c>
      <x:c r="B16" s="16" t="str">
        <x:v>ICH</x:v>
      </x:c>
      <x:c r="C16" s="16" t="str">
        <x:v>Comparability of Biotechnological/Biological Products</x:v>
      </x:c>
      <x:c r="D16" s="16" t="str">
        <x:v>Step 4</x:v>
      </x:c>
      <x:c r="E16" s="16" t="str">
        <x:v>https://database.ich.org/sites/default/files/Q5E_Guideline.pdf</x:v>
      </x:c>
      <x:c r="F16" s="16" t="str">
        <x:v>Comparability is distinct from transfer completion and does not require analytical identity.</x:v>
      </x:c>
    </x:row>
    <x:row r="17" ht="54" customHeight="1">
      <x:c r="A17" s="16" t="str">
        <x:v>ICH-Q8-R2</x:v>
      </x:c>
      <x:c r="B17" s="16" t="str">
        <x:v>ICH</x:v>
      </x:c>
      <x:c r="C17" s="16" t="str">
        <x:v>Pharmaceutical Development Q8(R2)</x:v>
      </x:c>
      <x:c r="D17" s="16" t="str">
        <x:v>Step 4</x:v>
      </x:c>
      <x:c r="E17" s="16" t="str">
        <x:v>https://database.ich.org/sites/default/files/Q8%28R2%29%20Guideline.pdf</x:v>
      </x:c>
      <x:c r="F17" s="16" t="str">
        <x:v>No universal CQA, CPP, design space or operating range.</x:v>
      </x:c>
    </x:row>
    <x:row r="18" ht="54" customHeight="1">
      <x:c r="A18" s="16" t="str">
        <x:v>ICH-Q11</x:v>
      </x:c>
      <x:c r="B18" s="16" t="str">
        <x:v>ICH</x:v>
      </x:c>
      <x:c r="C18" s="16" t="str">
        <x:v>Development and Manufacture of Drug Substances Q11</x:v>
      </x:c>
      <x:c r="D18" s="16" t="str">
        <x:v>Step 4</x:v>
      </x:c>
      <x:c r="E18" s="16" t="str">
        <x:v>https://database.ich.org/sites/default/files/Q11_Guideline.pdf</x:v>
      </x:c>
      <x:c r="F18" s="16" t="str">
        <x:v>Apply within drug-substance and regional scope.</x:v>
      </x:c>
    </x:row>
    <x:row r="19" ht="54" customHeight="1">
      <x:c r="A19" s="16" t="str">
        <x:v>ICH-Q6B</x:v>
      </x:c>
      <x:c r="B19" s="16" t="str">
        <x:v>ICH</x:v>
      </x:c>
      <x:c r="C19" s="16" t="str">
        <x:v>Specifications for Biotechnological/Biological Products Q6B</x:v>
      </x:c>
      <x:c r="D19" s="16" t="str">
        <x:v>Step 4</x:v>
      </x:c>
      <x:c r="E19" s="16" t="str">
        <x:v>https://database.ich.org/sites/default/files/Q6B_Guideline.pdf</x:v>
      </x:c>
      <x:c r="F19" s="16" t="str">
        <x:v>Specifications cover a selected subset; no product-specific criteria supplied.</x:v>
      </x:c>
    </x:row>
    <x:row r="20" ht="54" customHeight="1">
      <x:c r="A20" s="16" t="str">
        <x:v>ICH-Q5C</x:v>
      </x:c>
      <x:c r="B20" s="16" t="str">
        <x:v>ICH</x:v>
      </x:c>
      <x:c r="C20" s="16" t="str">
        <x:v>Stability Testing of Biotechnological/Biological Products Q5C</x:v>
      </x:c>
      <x:c r="D20" s="16" t="str">
        <x:v>Step 4</x:v>
      </x:c>
      <x:c r="E20" s="16" t="str">
        <x:v>https://database.ich.org/sites/default/files/Q5C%20Guideline.pdf</x:v>
      </x:c>
      <x:c r="F20" s="16" t="str">
        <x:v>No schedule, storage condition, criterion or shelf life supplied.</x:v>
      </x:c>
    </x:row>
    <x:row r="21" ht="54" customHeight="1">
      <x:c r="A21" s="16" t="str">
        <x:v>ICH-Q2-R2</x:v>
      </x:c>
      <x:c r="B21" s="16" t="str">
        <x:v>ICH</x:v>
      </x:c>
      <x:c r="C21" s="16" t="str">
        <x:v>Validation of Analytical Procedures Q2(R2)</x:v>
      </x:c>
      <x:c r="D21" s="16" t="str">
        <x:v>Step 4</x:v>
      </x:c>
      <x:c r="E21" s="16" t="str">
        <x:v>https://database.ich.org/sites/default/files/ICH_Q2-R2_Guideline_2023_1130.pdf</x:v>
      </x:c>
      <x:c r="F21" s="16" t="str">
        <x:v>Validation evidence depends on intended use and regional implementation.</x:v>
      </x:c>
    </x:row>
    <x:row r="22" ht="54" customHeight="1">
      <x:c r="A22" s="16" t="str">
        <x:v>ICH-Q14</x:v>
      </x:c>
      <x:c r="B22" s="16" t="str">
        <x:v>ICH</x:v>
      </x:c>
      <x:c r="C22" s="16" t="str">
        <x:v>Analytical Procedure Development Q14</x:v>
      </x:c>
      <x:c r="D22" s="16" t="str">
        <x:v>Step 4</x:v>
      </x:c>
      <x:c r="E22" s="16" t="str">
        <x:v>https://database.ich.org/sites/default/files/ICH_Q14_Guideline_2023_1116.pdf</x:v>
      </x:c>
      <x:c r="F22" s="16" t="str">
        <x:v>Transfer/bridging examples do not approve a product procedure.</x:v>
      </x:c>
    </x:row>
    <x:row r="23" ht="54" customHeight="1">
      <x:c r="A23" s="17" t="str">
        <x:v>FDA-PROCESS-VALIDATION-2011</x:v>
      </x:c>
      <x:c r="B23" s="17" t="str">
        <x:v>FDA</x:v>
      </x:c>
      <x:c r="C23" s="17" t="str">
        <x:v>Process Validation: General Principles and Practices</x:v>
      </x:c>
      <x:c r="D23" s="17" t="str">
        <x:v>Final guidance</x:v>
      </x:c>
      <x:c r="E23" s="17" t="str">
        <x:v>https://www.fda.gov/regulatory-information/search-fda-guidance-documents/process-validation-general-principles-and-practices</x:v>
      </x:c>
      <x:c r="F23" s="17" t="str">
        <x:v>Nonbinding US guidance; product and jurisdiction applicability must be verified.</x:v>
      </x:c>
    </x:row>
  </x:sheetData>
  <x:mergeCells>
    <x:mergeCell ref="A1:F1"/>
    <x:mergeCell ref="A2:F2"/>
    <x:mergeCell ref="B4:F4"/>
    <x:mergeCell ref="B5:F5"/>
    <x:mergeCell ref="B6:F6"/>
    <x:mergeCell ref="B7:F7"/>
    <x:mergeCell ref="B8:F8"/>
    <x:mergeCell ref="B9:F9"/>
    <x:mergeCell ref="B10:F10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0" hidden="0" customWidth="1"/>
    <x:col min="3" max="3" width="20" hidden="0" customWidth="1"/>
    <x:col min="4" max="4" width="16" hidden="0" customWidth="1"/>
    <x:col min="5" max="5" width="24" hidden="0" customWidth="1"/>
  </x:cols>
  <x:sheetData>
    <x:row r="1" ht="32" customHeight="1">
      <x:c r="A1" s="3" t="str">
        <x:v>Controlled Lists</x:v>
      </x:c>
      <x:c r="B1" s="3"/>
      <x:c r="C1" s="3"/>
      <x:c r="D1" s="3"/>
      <x:c r="E1" s="3"/>
    </x:row>
    <x:row r="2" ht="32" customHeight="1">
      <x:c r="A2" s="7" t="str">
        <x:v>Editable vocabularies used by data-validation rules.</x:v>
      </x:c>
      <x:c r="B2" s="7"/>
      <x:c r="C2" s="7"/>
      <x:c r="D2" s="7"/>
      <x:c r="E2" s="7"/>
    </x:row>
    <x:row r="4" ht="30" customHeight="1">
      <x:c r="A4" s="21" t="str">
        <x:v>statuses</x:v>
      </x:c>
      <x:c r="B4" s="21" t="str">
        <x:v>evidence</x:v>
      </x:c>
      <x:c r="C4" s="21" t="str">
        <x:v>decisions</x:v>
      </x:c>
      <x:c r="D4" s="21" t="str">
        <x:v>risk</x:v>
      </x:c>
      <x:c r="E4" s="21" t="str">
        <x:v>applicability</x:v>
      </x:c>
    </x:row>
    <x:row r="5">
      <x:c r="A5" s="16" t="str">
        <x:v>Not started</x:v>
      </x:c>
      <x:c r="B5" s="16" t="str">
        <x:v>Missing</x:v>
      </x:c>
      <x:c r="C5" s="16" t="str">
        <x:v>Open</x:v>
      </x:c>
      <x:c r="D5" s="16" t="str">
        <x:v>Low</x:v>
      </x:c>
      <x:c r="E5" s="16" t="str">
        <x:v>Applicable</x:v>
      </x:c>
    </x:row>
    <x:row r="6">
      <x:c r="A6" s="16" t="str">
        <x:v>In progress</x:v>
      </x:c>
      <x:c r="B6" s="16" t="str">
        <x:v>Draft</x:v>
      </x:c>
      <x:c r="C6" s="16" t="str">
        <x:v>Conditional</x:v>
      </x:c>
      <x:c r="D6" s="16" t="str">
        <x:v>Medium</x:v>
      </x:c>
      <x:c r="E6" s="16" t="str">
        <x:v>Partially applicable</x:v>
      </x:c>
    </x:row>
    <x:row r="7">
      <x:c r="A7" s="16" t="str">
        <x:v>Pending review</x:v>
      </x:c>
      <x:c r="B7" s="16" t="str">
        <x:v>Available</x:v>
      </x:c>
      <x:c r="C7" s="16" t="str">
        <x:v>Accepted</x:v>
      </x:c>
      <x:c r="D7" s="16" t="str">
        <x:v>High</x:v>
      </x:c>
      <x:c r="E7" s="16" t="str">
        <x:v>Not applicable</x:v>
      </x:c>
    </x:row>
    <x:row r="8">
      <x:c r="A8" s="16" t="str">
        <x:v>Accepted</x:v>
      </x:c>
      <x:c r="B8" s="16" t="str">
        <x:v>Verified</x:v>
      </x:c>
      <x:c r="C8" s="16" t="str">
        <x:v>Rejected</x:v>
      </x:c>
      <x:c r="D8" s="16" t="str">
        <x:v>Critical</x:v>
      </x:c>
      <x:c r="E8" s="16" t="str">
        <x:v>Unconfirmed</x:v>
      </x:c>
    </x:row>
    <x:row r="9">
      <x:c r="A9" s="16" t="str">
        <x:v>Rejected</x:v>
      </x:c>
      <x:c r="B9" s="16" t="str">
        <x:v>Superseded</x:v>
      </x:c>
      <x:c r="C9" s="16" t="str">
        <x:v>Deferred</x:v>
      </x:c>
      <x:c r="D9" s="16" t="str"/>
      <x:c r="E9" s="16" t="str"/>
    </x:row>
    <x:row r="10">
      <x:c r="A10" s="16" t="str">
        <x:v>Deferred</x:v>
      </x:c>
      <x:c r="B10" s="16" t="str"/>
      <x:c r="C10" s="16" t="str"/>
      <x:c r="D10" s="16" t="str"/>
      <x:c r="E10" s="16" t="str"/>
    </x:row>
    <x:row r="11">
      <x:c r="A11" s="17" t="str">
        <x:v>Closed</x:v>
      </x:c>
      <x:c r="B11" s="17" t="str"/>
      <x:c r="C11" s="17" t="str"/>
      <x:c r="D11" s="17" t="str"/>
      <x:c r="E11" s="17" t="str"/>
    </x:row>
  </x:sheetData>
  <x:mergeCells>
    <x:mergeCell ref="A1:E1"/>
    <x:mergeCell ref="A2:E2"/>
  </x:mergeCells>
  <x:pageMargins left="0.7" right="0.7" top="0.75" bottom="0.75" header="0.3" footer="0.3"/>
</x:worksheet>
</file>