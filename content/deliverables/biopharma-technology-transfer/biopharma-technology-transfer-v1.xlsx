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99cd1b931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b69ae310b5ca4fcb"/>
    <x:sheet xmlns:r="http://schemas.openxmlformats.org/officeDocument/2006/relationships" name="Decision Brief" sheetId="2" r:id="Rf869e1dc1ba94e41"/>
    <x:sheet xmlns:r="http://schemas.openxmlformats.org/officeDocument/2006/relationships" name="Scope &amp; Governance" sheetId="3" r:id="Re5852a739b4947c2"/>
    <x:sheet xmlns:r="http://schemas.openxmlformats.org/officeDocument/2006/relationships" name="Knowledge Package" sheetId="4" r:id="R07a13cf2e59a4468"/>
    <x:sheet xmlns:r="http://schemas.openxmlformats.org/officeDocument/2006/relationships" name="Facility &amp; Equipment" sheetId="5" r:id="Ra530aeddcaac4a82"/>
    <x:sheet xmlns:r="http://schemas.openxmlformats.org/officeDocument/2006/relationships" name="Process &amp; Materials" sheetId="6" r:id="R1778ef7c8793414c"/>
    <x:sheet xmlns:r="http://schemas.openxmlformats.org/officeDocument/2006/relationships" name="Analytical Transfer" sheetId="7" r:id="Rd114741ade7d440f"/>
    <x:sheet xmlns:r="http://schemas.openxmlformats.org/officeDocument/2006/relationships" name="Validation &amp; Commitments" sheetId="8" r:id="Rfb858ff59fad4266"/>
    <x:sheet xmlns:r="http://schemas.openxmlformats.org/officeDocument/2006/relationships" name="Evidence Register" sheetId="9" r:id="R356ea03379ee486e"/>
    <x:sheet xmlns:r="http://schemas.openxmlformats.org/officeDocument/2006/relationships" name="Review &amp; Actions" sheetId="10" r:id="R9f58340d2ee54449"/>
    <x:sheet xmlns:r="http://schemas.openxmlformats.org/officeDocument/2006/relationships" name="Sources &amp; Control" sheetId="11" r:id="R4f2e3746e7054eec"/>
    <x:sheet xmlns:r="http://schemas.openxmlformats.org/officeDocument/2006/relationships" name="Lists" sheetId="12" r:id="Rcefe3f5d6005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175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b/>
      <x:sz val="11"/>
      <x:color rgb="FF7A4A00"/>
      <x:name val="Carlito"/>
    </x:font>
    <x:font>
      <x:b/>
      <x:sz val="11"/>
      <x:color rgb="FF7B2020"/>
      <x:name val="Carlito"/>
    </x:font>
    <x:font>
      <x:b/>
      <x:sz val="11"/>
      <x:color rgb="FFFFFFFF"/>
      <x:name val="Carlito"/>
    </x:font>
    <x:font>
      <x:b/>
      <x:sz val="11"/>
      <x:color rgb="FF12253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253F"/>
      </x:patternFill>
    </x:fill>
    <x:fill>
      <x:patternFill patternType="solid">
        <x:fgColor rgb="FFEDF4FA"/>
      </x:patternFill>
    </x:fill>
    <x:fill>
      <x:patternFill patternType="solid">
        <x:fgColor rgb="FF1E4E79"/>
      </x:patternFill>
    </x:fill>
    <x:fill>
      <x:patternFill patternType="solid">
        <x:fgColor rgb="FFFFF1D6"/>
      </x:patternFill>
    </x:fill>
    <x:fill>
      <x:patternFill patternType="solid">
        <x:fgColor rgb="FFFBE7E7"/>
      </x:patternFill>
    </x:fill>
    <x:fill>
      <x:patternFill patternType="solid">
        <x:fgColor rgb="FF167D78"/>
      </x:patternFill>
    </x:fill>
    <x:fill>
      <x:patternFill patternType="solid">
        <x:fgColor rgb="FFE8F3F2"/>
      </x:patternFill>
    </x:fill>
  </x:fills>
  <x:borders count="11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medium">
        <x:color rgb="FF12253F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3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8" fillId="8" borderId="7" xfId="0" applyNumberFormat="1" applyFont="1" applyFill="1" applyBorder="1"/>
    <x:xf numFmtId="0" fontId="0" fillId="0" borderId="8" xfId="0" applyNumberFormat="1" applyFont="1" applyFill="1" applyBorder="1"/>
    <x:xf numFmtId="0" fontId="8" fillId="8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8" xfId="0" applyNumberFormat="1" applyFont="1" applyFill="1" applyBorder="1"/>
    <x:xf numFmtId="0" fontId="0" fillId="5" borderId="10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  <x:dxfs count="30"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8ba0f2e6c43cd" /><Relationship Type="http://schemas.openxmlformats.org/officeDocument/2006/relationships/theme" Target="/xl/theme/theme1.xml" Id="R18420e3985b84e13" /><Relationship Type="http://schemas.openxmlformats.org/officeDocument/2006/relationships/sharedStrings" Target="/xl/sharedStrings.xml" Id="R466f9973e5bd4c3b" /><Relationship Type="http://schemas.openxmlformats.org/officeDocument/2006/relationships/worksheet" Target="/xl/worksheets/sheet1.xml" Id="Rb69ae310b5ca4fcb" /><Relationship Type="http://schemas.openxmlformats.org/officeDocument/2006/relationships/worksheet" Target="/xl/worksheets/sheet2.xml" Id="Rf869e1dc1ba94e41" /><Relationship Type="http://schemas.openxmlformats.org/officeDocument/2006/relationships/worksheet" Target="/xl/worksheets/sheet3.xml" Id="Re5852a739b4947c2" /><Relationship Type="http://schemas.openxmlformats.org/officeDocument/2006/relationships/worksheet" Target="/xl/worksheets/sheet4.xml" Id="R07a13cf2e59a4468" /><Relationship Type="http://schemas.openxmlformats.org/officeDocument/2006/relationships/worksheet" Target="/xl/worksheets/sheet5.xml" Id="Ra530aeddcaac4a82" /><Relationship Type="http://schemas.openxmlformats.org/officeDocument/2006/relationships/worksheet" Target="/xl/worksheets/sheet6.xml" Id="R1778ef7c8793414c" /><Relationship Type="http://schemas.openxmlformats.org/officeDocument/2006/relationships/worksheet" Target="/xl/worksheets/sheet7.xml" Id="Rd114741ade7d440f" /><Relationship Type="http://schemas.openxmlformats.org/officeDocument/2006/relationships/worksheet" Target="/xl/worksheets/sheet8.xml" Id="Rfb858ff59fad4266" /><Relationship Type="http://schemas.openxmlformats.org/officeDocument/2006/relationships/worksheet" Target="/xl/worksheets/sheet9.xml" Id="R356ea03379ee486e" /><Relationship Type="http://schemas.openxmlformats.org/officeDocument/2006/relationships/worksheet" Target="/xl/worksheets/sheet10.xml" Id="R9f58340d2ee54449" /><Relationship Type="http://schemas.openxmlformats.org/officeDocument/2006/relationships/worksheet" Target="/xl/worksheets/sheet11.xml" Id="R4f2e3746e7054eec" /><Relationship Type="http://schemas.openxmlformats.org/officeDocument/2006/relationships/worksheet" Target="/xl/worksheets/sheet12.xml" Id="Rcefe3f5d60054a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65" hidden="0" customWidth="1"/>
    <x:col min="4" max="4" width="26" hidden="0" customWidth="1"/>
  </x:cols>
  <x:sheetData>
    <x:row r="1" ht="32" customHeight="1">
      <x:c r="A1" s="3" t="str">
        <x:v>Biopharma Technology Transfer Evidence Map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Version 1.0.0-review • Blank controlled working file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1" t="str">
        <x:v>Step</x:v>
      </x:c>
      <x:c r="B4" s="21" t="str">
        <x:v>Activity</x:v>
      </x:c>
      <x:c r="C4" s="21" t="str">
        <x:v>Decision-quality instruction</x:v>
      </x:c>
      <x:c r="D4" s="21" t="str">
        <x:v>Working sheet</x:v>
      </x:c>
    </x:row>
    <x:row r="5">
      <x:c r="A5" s="16" t="str">
        <x:v>1</x:v>
      </x:c>
      <x:c r="B5" s="16" t="str">
        <x:v>Freeze the charter</x:v>
      </x:c>
      <x:c r="C5" s="16" t="str">
        <x:v>One product/process/method version, sending and receiving units, lifecycle stage, markets, in/out scope, owner and authority.</x:v>
      </x:c>
      <x:c r="D5" s="16" t="str">
        <x:v>Scope &amp; Governance</x:v>
      </x:c>
    </x:row>
    <x:row r="6">
      <x:c r="A6" s="16" t="str">
        <x:v>2</x:v>
      </x:c>
      <x:c r="B6" s="16" t="str">
        <x:v>Map decision knowledge</x:v>
      </x:c>
      <x:c r="C6" s="16" t="str">
        <x:v>Link controlled knowledge to receiving-unit use, version, limitation, demonstration evidence and owner.</x:v>
      </x:c>
      <x:c r="D6" s="16" t="str">
        <x:v>Knowledge Package</x:v>
      </x:c>
    </x:row>
    <x:row r="7">
      <x:c r="A7" s="16" t="str">
        <x:v>3</x:v>
      </x:c>
      <x:c r="B7" s="16" t="str">
        <x:v>Assess functional fit</x:v>
      </x:c>
      <x:c r="C7" s="16" t="str">
        <x:v>Compare facility, equipment, utility, automation and data capability by function and product/process impact.</x:v>
      </x:c>
      <x:c r="D7" s="16" t="str">
        <x:v>Facility &amp; Equipment</x:v>
      </x:c>
    </x:row>
    <x:row r="8">
      <x:c r="A8" s="16" t="str">
        <x:v>4</x:v>
      </x:c>
      <x:c r="B8" s="16" t="str">
        <x:v>Preserve product-process-material lineage</x:v>
      </x:c>
      <x:c r="C8" s="16" t="str">
        <x:v>Trace materials, unit operations, inputs, controls, outputs, attributes, differences and open evidence.</x:v>
      </x:c>
      <x:c r="D8" s="16" t="str">
        <x:v>Process &amp; Materials</x:v>
      </x:c>
    </x:row>
    <x:row r="9">
      <x:c r="A9" s="16" t="str">
        <x:v>5</x:v>
      </x:c>
      <x:c r="B9" s="16" t="str">
        <x:v>Transfer analytical capability</x:v>
      </x:c>
      <x:c r="C9" s="16" t="str">
        <x:v>Keep method purpose, sample, reference, reagent, instrument, software, reportability, validation and QC readiness distinct.</x:v>
      </x:c>
      <x:c r="D9" s="16" t="str">
        <x:v>Analytical Transfer</x:v>
      </x:c>
    </x:row>
    <x:row r="10">
      <x:c r="A10" s="16" t="str">
        <x:v>6</x:v>
      </x:c>
      <x:c r="B10" s="16" t="str">
        <x:v>Reconcile distinct gates</x:v>
      </x:c>
      <x:c r="C10" s="16" t="str">
        <x:v>Comparability, qualification, validation, stability, regulatory implementation and routine readiness are separate decisions.</x:v>
      </x:c>
      <x:c r="D10" s="16" t="str">
        <x:v>Validation &amp; Commitments</x:v>
      </x:c>
    </x:row>
    <x:row r="11">
      <x:c r="A11" s="17" t="str">
        <x:v>7</x:v>
      </x:c>
      <x:c r="B11" s="17" t="str">
        <x:v>Control evidence and actions</x:v>
      </x:c>
      <x:c r="C11" s="17" t="str">
        <x:v>Every decision claim needs a locator, version, limitation, owner, review state and residual action.</x:v>
      </x:c>
      <x:c r="D11" s="17" t="str">
        <x:v>Evidence Register / Review &amp; Actions</x:v>
      </x:c>
    </x:row>
    <x:row r="13">
      <x:c r="A13" s="23" t="str">
        <x:v>Fail-closed boundary</x:v>
      </x:c>
      <x:c r="B13" s="23"/>
      <x:c r="C13" s="23"/>
      <x:c r="D13" s="23"/>
    </x:row>
    <x:row r="14" ht="28" customHeight="1">
      <x:c r="A14" s="26" t="str">
        <x:v>Protocol completion is not successful transfer.</x:v>
      </x:c>
      <x:c r="B14" s="26"/>
      <x:c r="C14" s="26"/>
      <x:c r="D14" s="26"/>
    </x:row>
    <x:row r="15" ht="28" customHeight="1">
      <x:c r="A15" s="26" t="str">
        <x:v>Engineering or qualification success is not regulatory approval or routine readiness.</x:v>
      </x:c>
      <x:c r="B15" s="26"/>
      <x:c r="C15" s="26"/>
      <x:c r="D15" s="26"/>
    </x:row>
    <x:row r="16" ht="28" customHeight="1">
      <x:c r="A16" s="26" t="str">
        <x:v>Equipment similarity, training completion, method validation or release conformance cannot substitute for the missing decision evidence.</x:v>
      </x:c>
      <x:c r="B16" s="26"/>
      <x:c r="C16" s="26"/>
      <x:c r="D16" s="26"/>
    </x:row>
    <x:row r="17" ht="28" customHeight="1">
      <x:c r="A17" s="26" t="str">
        <x:v>This workbook can reach Qualified review required, never automatic approval.</x:v>
      </x:c>
      <x:c r="B17" s="26"/>
      <x:c r="C17" s="26"/>
      <x:c r="D17" s="26"/>
    </x:row>
  </x:sheetData>
  <x:mergeCells>
    <x:mergeCell ref="A1:H1"/>
    <x:mergeCell ref="A2:H2"/>
    <x:mergeCell ref="A13:D13"/>
    <x:mergeCell ref="A14:D14"/>
    <x:mergeCell ref="A15:D15"/>
    <x:mergeCell ref="A16:D16"/>
    <x:mergeCell ref="A17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4" max="4" width="26" hidden="0" customWidth="1"/>
    <x:col min="5" max="5" width="28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</x:row>
    <x:row r="2" ht="32" customHeight="1">
      <x:c r="A2" s="7" t="str">
        <x:v>One bounded transfer decision; summary is formula-driven from the working registers.</x:v>
      </x:c>
      <x:c r="B2" s="7"/>
      <x:c r="C2" s="7"/>
      <x:c r="D2" s="7"/>
      <x:c r="E2" s="7"/>
      <x:c r="F2" s="7"/>
    </x:row>
    <x:row r="4">
      <x:c r="A4" s="30" t="str">
        <x:v>Field</x:v>
      </x:c>
      <x:c r="B4" s="30" t="str">
        <x:v>Controlled value</x:v>
      </x:c>
      <x:c r="D4" s="37" t="str">
        <x:v>Formula-backed control</x:v>
      </x:c>
      <x:c r="E4" s="38" t="str">
        <x:v>Result</x:v>
      </x:c>
    </x:row>
    <x:row r="5" ht="34" customHeight="1">
      <x:c r="A5" s="31" t="str">
        <x:v>Document ID</x:v>
      </x:c>
      <x:c r="B5" s="32" t="str"/>
      <x:c r="D5" s="39" t="str">
        <x:v>Incomplete rows</x:v>
      </x:c>
      <x:c r="E5" s="43" t="n">
        <x:f>COUNTIF('Scope &amp; Governance'!$H$5:$H$10,"Incomplete")+COUNTIF('Knowledge Package'!$I$5:$I$10,"Incomplete")+COUNTIF('Facility &amp; Equipment'!$J$5:$J$10,"Incomplete")+COUNTIF('Process &amp; Materials'!$K$5:$K$10,"Incomplete")+COUNTIF('Analytical Transfer'!$K$5:$K$9,"Incomplete")+COUNTIF('Validation &amp; Commitments'!$J$5:$J$9,"Incomplete")+COUNTIF('Evidence Register'!$J$5:$J$14,"Incomplete")</x:f>
        <x:v>44</x:v>
      </x:c>
    </x:row>
    <x:row r="6" ht="34" customHeight="1">
      <x:c r="A6" s="31" t="str">
        <x:v>Product / stage</x:v>
      </x:c>
      <x:c r="B6" s="32" t="str"/>
      <x:c r="D6" s="39" t="str">
        <x:v>Evidence-required rows</x:v>
      </x:c>
      <x:c r="E6" s="43" t="n">
        <x:f>COUNTIF('Scope &amp; Governance'!$H$5:$H$10,"Evidence required")+COUNTIF('Knowledge Package'!$I$5:$I$10,"Evidence required")+COUNTIF('Facility &amp; Equipment'!$J$5:$J$10,"Evidence required")+COUNTIF('Process &amp; Materials'!$K$5:$K$10,"Evidence required")+COUNTIF('Analytical Transfer'!$K$5:$K$9,"Evidence required")+COUNTIF('Validation &amp; Commitments'!$J$5:$J$9,"Evidence required")+COUNTIF('Evidence Register'!$J$5:$J$14,"Evidence required")</x:f>
        <x:v>0</x:v>
      </x:c>
    </x:row>
    <x:row r="7" ht="34" customHeight="1">
      <x:c r="A7" s="31" t="str">
        <x:v>Sending → receiving unit</x:v>
      </x:c>
      <x:c r="B7" s="32" t="str"/>
      <x:c r="D7" s="39" t="str">
        <x:v>Review-required rows</x:v>
      </x:c>
      <x:c r="E7" s="43" t="n">
        <x:f>COUNTIF('Scope &amp; Governance'!$H$5:$H$10,"Review required")+COUNTIF('Knowledge Package'!$I$5:$I$10,"Review required")+COUNTIF('Facility &amp; Equipment'!$J$5:$J$10,"Review required")+COUNTIF('Process &amp; Materials'!$K$5:$K$10,"Review required")+COUNTIF('Analytical Transfer'!$K$5:$K$9,"Review required")+COUNTIF('Validation &amp; Commitments'!$J$5:$J$9,"Review required")+COUNTIF('Evidence Register'!$J$5:$J$14,"Review required")</x:f>
        <x:v>0</x:v>
      </x:c>
    </x:row>
    <x:row r="8" ht="34" customHeight="1">
      <x:c r="A8" s="31" t="str">
        <x:v>Decision</x:v>
      </x:c>
      <x:c r="B8" s="32" t="str"/>
      <x:c r="D8" s="39" t="str">
        <x:v>Open actions</x:v>
      </x:c>
      <x:c r="E8" s="43" t="n">
        <x:f>COUNTIF('Review &amp; Actions'!$H$5:$H$9,"&lt;&gt;Closed")</x:f>
        <x:v>5</x:v>
      </x:c>
    </x:row>
    <x:row r="9" ht="34" customHeight="1">
      <x:c r="A9" s="31" t="str">
        <x:v>In scope</x:v>
      </x:c>
      <x:c r="B9" s="32" t="str"/>
      <x:c r="D9" s="41" t="str">
        <x:v>Overall state</x:v>
      </x:c>
      <x:c r="E9" s="45" t="str">
        <x:f>IF(OR(E5&gt;0,E6&gt;0),"Evidence required","Qualified review required")</x:f>
        <x:v>Evidence required</x:v>
      </x:c>
    </x:row>
    <x:row r="10" ht="34" customHeight="1">
      <x:c r="A10" s="31" t="str">
        <x:v>Out of scope</x:v>
      </x:c>
      <x:c r="B10" s="32" t="str"/>
    </x:row>
    <x:row r="11" ht="42" customHeight="1">
      <x:c r="A11" s="31" t="str">
        <x:v>Decision owner</x:v>
      </x:c>
      <x:c r="B11" s="32" t="str"/>
      <x:c r="D11" s="26" t="str">
        <x:v>Workbook status is a completeness/review signal, never approval.</x:v>
      </x:c>
      <x:c r="E11" s="26"/>
    </x:row>
    <x:row r="12" ht="34" customHeight="1">
      <x:c r="A12" s="31" t="str">
        <x:v>Lifecycle / markets</x:v>
      </x:c>
      <x:c r="B12" s="32" t="str"/>
    </x:row>
  </x:sheetData>
  <x:mergeCells>
    <x:mergeCell ref="A1:F1"/>
    <x:mergeCell ref="A2:F2"/>
    <x:mergeCell ref="D11:E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52" hidden="0" customWidth="1"/>
    <x:col min="5" max="5" width="22" hidden="0" customWidth="1"/>
    <x:col min="6" max="6" width="14" hidden="0" customWidth="1"/>
    <x:col min="7" max="7" width="25" hidden="0" customWidth="1"/>
    <x:col min="8" max="8" width="20" hidden="0" customWidth="1"/>
  </x:cols>
  <x:sheetData>
    <x:row r="1" ht="32" customHeight="1">
      <x:c r="A1" s="3" t="str">
        <x:v>Scope &amp; Governance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Freeze the exact transfer and decision authority before evaluating readiness.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1" t="str">
        <x:v>ID</x:v>
      </x:c>
      <x:c r="B4" s="21" t="str">
        <x:v>Gate</x:v>
      </x:c>
      <x:c r="C4" s="21" t="str">
        <x:v>Requirement</x:v>
      </x:c>
      <x:c r="D4" s="21" t="str">
        <x:v>Controlled scope / decision</x:v>
      </x:c>
      <x:c r="E4" s="21" t="str">
        <x:v>Owner</x:v>
      </x:c>
      <x:c r="F4" s="21" t="str">
        <x:v>Evidence ID</x:v>
      </x:c>
      <x:c r="G4" s="21" t="str">
        <x:v>Reviewer role</x:v>
      </x:c>
      <x:c r="H4" s="21" t="str">
        <x:v>Status</x:v>
      </x:c>
    </x:row>
    <x:row r="5" ht="48" customHeight="1">
      <x:c r="A5" s="16" t="str">
        <x:v>SG-01</x:v>
      </x:c>
      <x:c r="B5" s="16" t="str"/>
      <x:c r="C5" s="16" t="str"/>
      <x:c r="D5" s="16" t="str"/>
      <x:c r="E5" s="16" t="str"/>
      <x:c r="F5" s="16" t="str"/>
      <x:c r="G5" s="16" t="str"/>
      <x:c r="H5" s="16" t="str">
        <x:f>IF(OR(B5="",C5="",D5="",E5=""),"Incomplete",IF(F5="","Evidence required",IF(OR(G5="",G5="Open",G5="Pending review"),"Review required","Complete")))</x:f>
        <x:v>Incomplete</x:v>
      </x:c>
    </x:row>
    <x:row r="6" ht="48" customHeight="1">
      <x:c r="A6" s="16" t="str">
        <x:v>SG-02</x:v>
      </x:c>
      <x:c r="B6" s="16" t="str"/>
      <x:c r="C6" s="16" t="str"/>
      <x:c r="D6" s="16" t="str"/>
      <x:c r="E6" s="16" t="str"/>
      <x:c r="F6" s="16" t="str"/>
      <x:c r="G6" s="16" t="str"/>
      <x:c r="H6" s="16" t="str">
        <x:f>IF(OR(B6="",C6="",D6="",E6=""),"Incomplete",IF(F6="","Evidence required",IF(OR(G6="",G6="Open",G6="Pending review"),"Review required","Complete")))</x:f>
        <x:v>Incomplete</x:v>
      </x:c>
    </x:row>
    <x:row r="7" ht="48" customHeight="1">
      <x:c r="A7" s="16" t="str">
        <x:v>SG-03</x:v>
      </x:c>
      <x:c r="B7" s="16" t="str"/>
      <x:c r="C7" s="16" t="str"/>
      <x:c r="D7" s="16" t="str"/>
      <x:c r="E7" s="16" t="str"/>
      <x:c r="F7" s="16" t="str"/>
      <x:c r="G7" s="16" t="str"/>
      <x:c r="H7" s="16" t="str">
        <x:f>IF(OR(B7="",C7="",D7="",E7=""),"Incomplete",IF(F7="","Evidence required",IF(OR(G7="",G7="Open",G7="Pending review"),"Review required","Complete")))</x:f>
        <x:v>Incomplete</x:v>
      </x:c>
    </x:row>
    <x:row r="8" ht="48" customHeight="1">
      <x:c r="A8" s="16" t="str">
        <x:v>SG-04</x:v>
      </x:c>
      <x:c r="B8" s="16" t="str"/>
      <x:c r="C8" s="16" t="str"/>
      <x:c r="D8" s="16" t="str"/>
      <x:c r="E8" s="16" t="str"/>
      <x:c r="F8" s="16" t="str"/>
      <x:c r="G8" s="16" t="str"/>
      <x:c r="H8" s="16" t="str">
        <x:f>IF(OR(B8="",C8="",D8="",E8=""),"Incomplete",IF(F8="","Evidence required",IF(OR(G8="",G8="Open",G8="Pending review"),"Review required","Complete")))</x:f>
        <x:v>Incomplete</x:v>
      </x:c>
    </x:row>
    <x:row r="9" ht="48" customHeight="1">
      <x:c r="A9" s="16" t="str">
        <x:v>SG-05</x:v>
      </x:c>
      <x:c r="B9" s="16" t="str"/>
      <x:c r="C9" s="16" t="str"/>
      <x:c r="D9" s="16" t="str"/>
      <x:c r="E9" s="16" t="str"/>
      <x:c r="F9" s="16" t="str"/>
      <x:c r="G9" s="16" t="str"/>
      <x:c r="H9" s="16" t="str">
        <x:f>IF(OR(B9="",C9="",D9="",E9=""),"Incomplete",IF(F9="","Evidence required",IF(OR(G9="",G9="Open",G9="Pending review"),"Review required","Complete")))</x:f>
        <x:v>Incomplete</x:v>
      </x:c>
    </x:row>
    <x:row r="10" ht="48" customHeight="1">
      <x:c r="A10" s="17" t="str">
        <x:v>SG-06</x:v>
      </x:c>
      <x:c r="B10" s="17" t="str"/>
      <x:c r="C10" s="17" t="str"/>
      <x:c r="D10" s="17" t="str"/>
      <x:c r="E10" s="17" t="str"/>
      <x:c r="F10" s="17" t="str"/>
      <x:c r="G10" s="17" t="str"/>
      <x:c r="H10" s="17" t="str">
        <x:f>IF(OR(B10="",C10="",D10="",E10=""),"Incomplete",IF(F10="","Evidence required",IF(OR(G10="",G10="Open",G10="Pending review"),"Review required","Complete")))</x:f>
        <x:v>Incomplete</x:v>
      </x:c>
    </x:row>
  </x:sheetData>
  <x:mergeCells>
    <x:mergeCell ref="A1:H1"/>
    <x:mergeCell ref="A2:H2"/>
  </x:mergeCells>
  <x:conditionalFormatting sqref="H5:H10">
    <x:cfRule type="containsText" dxfId="0" priority="1" operator="containsText" text="Evidence required"/>
    <x:cfRule type="containsText" dxfId="1" priority="2" operator="containsText" text="Incomplete"/>
    <x:cfRule type="containsText" dxfId="2" priority="3" operator="containsText" text="Review required"/>
    <x:cfRule type="containsText" dxfId="3" priority="4" operator="containsText" text="Comple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5" hidden="0" customWidth="1"/>
    <x:col min="4" max="4" width="45" hidden="0" customWidth="1"/>
    <x:col min="5" max="5" width="30" hidden="0" customWidth="1"/>
    <x:col min="6" max="6" width="14" hidden="0" customWidth="1"/>
    <x:col min="7" max="7" width="28" hidden="0" customWidth="1"/>
    <x:col min="8" max="8" width="20" hidden="0" customWidth="1"/>
    <x:col min="9" max="9" width="20" hidden="0" customWidth="1"/>
  </x:cols>
  <x:sheetData>
    <x:row r="1" ht="32" customHeight="1">
      <x:c r="A1" s="3" t="str">
        <x:v>Knowledge Package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A file becomes transfer evidence only when its version, use, limitation, demonstration and owner are controlled.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21" t="str">
        <x:v>ID</x:v>
      </x:c>
      <x:c r="B4" s="21" t="str">
        <x:v>Knowledge object</x:v>
      </x:c>
      <x:c r="C4" s="21" t="str">
        <x:v>Controlled source/version</x:v>
      </x:c>
      <x:c r="D4" s="21" t="str">
        <x:v>Receiving-unit use / acceptance</x:v>
      </x:c>
      <x:c r="E4" s="21" t="str">
        <x:v>Demonstration or training</x:v>
      </x:c>
      <x:c r="F4" s="21" t="str">
        <x:v>Evidence ID</x:v>
      </x:c>
      <x:c r="G4" s="21" t="str">
        <x:v>Owner / reviewer</x:v>
      </x:c>
      <x:c r="H4" s="21" t="str">
        <x:v>Review state</x:v>
      </x:c>
      <x:c r="I4" s="21" t="str">
        <x:v>Status</x:v>
      </x:c>
    </x:row>
    <x:row r="5" ht="48" customHeight="1">
      <x:c r="A5" s="16" t="str">
        <x:v>KP-01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>
        <x:f>IF(OR(B5="",C5="",D5="",G5=""),"Incomplete",IF(F5="","Evidence required",IF(OR(H5="",H5="Open",H5="Pending review"),"Review required","Complete")))</x:f>
        <x:v>Incomplete</x:v>
      </x:c>
    </x:row>
    <x:row r="6" ht="48" customHeight="1">
      <x:c r="A6" s="16" t="str">
        <x:v>KP-02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>
        <x:f>IF(OR(B6="",C6="",D6="",G6=""),"Incomplete",IF(F6="","Evidence required",IF(OR(H6="",H6="Open",H6="Pending review"),"Review required","Complete")))</x:f>
        <x:v>Incomplete</x:v>
      </x:c>
    </x:row>
    <x:row r="7" ht="48" customHeight="1">
      <x:c r="A7" s="16" t="str">
        <x:v>KP-03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>
        <x:f>IF(OR(B7="",C7="",D7="",G7=""),"Incomplete",IF(F7="","Evidence required",IF(OR(H7="",H7="Open",H7="Pending review"),"Review required","Complete")))</x:f>
        <x:v>Incomplete</x:v>
      </x:c>
    </x:row>
    <x:row r="8" ht="48" customHeight="1">
      <x:c r="A8" s="16" t="str">
        <x:v>KP-04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>
        <x:f>IF(OR(B8="",C8="",D8="",G8=""),"Incomplete",IF(F8="","Evidence required",IF(OR(H8="",H8="Open",H8="Pending review"),"Review required","Complete")))</x:f>
        <x:v>Incomplete</x:v>
      </x:c>
    </x:row>
    <x:row r="9" ht="48" customHeight="1">
      <x:c r="A9" s="16" t="str">
        <x:v>KP-05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>
        <x:f>IF(OR(B9="",C9="",D9="",G9=""),"Incomplete",IF(F9="","Evidence required",IF(OR(H9="",H9="Open",H9="Pending review"),"Review required","Complete")))</x:f>
        <x:v>Incomplete</x:v>
      </x:c>
    </x:row>
    <x:row r="10" ht="48" customHeight="1">
      <x:c r="A10" s="17" t="str">
        <x:v>KP-06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>
        <x:f>IF(OR(B10="",C10="",D10="",G10=""),"Incomplete",IF(F10="","Evidence required",IF(OR(H10="",H10="Open",H10="Pending review"),"Review required","Complete")))</x:f>
        <x:v>Incomplete</x:v>
      </x:c>
    </x:row>
  </x:sheetData>
  <x:mergeCells>
    <x:mergeCell ref="A1:I1"/>
    <x:mergeCell ref="A2:I2"/>
  </x:mergeCells>
  <x:conditionalFormatting sqref="I5:I10">
    <x:cfRule type="containsText" dxfId="4" priority="1" operator="containsText" text="Evidence required"/>
    <x:cfRule type="containsText" dxfId="5" priority="2" operator="containsText" text="Incomplete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H5:H10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42" hidden="0" customWidth="1"/>
    <x:col min="5" max="5" width="44" hidden="0" customWidth="1"/>
    <x:col min="6" max="6" width="30" hidden="0" customWidth="1"/>
    <x:col min="7" max="7" width="14" hidden="0" customWidth="1"/>
    <x:col min="8" max="8" width="30" hidden="0" customWidth="1"/>
    <x:col min="9" max="9" width="16" hidden="0" customWidth="1"/>
    <x:col min="10" max="10" width="20" hidden="0" customWidth="1"/>
  </x:cols>
  <x:sheetData>
    <x:row r="1" ht="32" customHeight="1">
      <x:c r="A1" s="3" t="str">
        <x:v>Facility &amp; Equipment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Compare functional requirements and product/process impact; neither sameness nor difference is a conclusion.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21" t="str">
        <x:v>ID</x:v>
      </x:c>
      <x:c r="B4" s="21" t="str">
        <x:v>Area</x:v>
      </x:c>
      <x:c r="C4" s="21" t="str">
        <x:v>Function / requirement</x:v>
      </x:c>
      <x:c r="D4" s="21" t="str">
        <x:v>Receiving-unit difference</x:v>
      </x:c>
      <x:c r="E4" s="21" t="str">
        <x:v>Potential product/process impact</x:v>
      </x:c>
      <x:c r="F4" s="21" t="str">
        <x:v>Proposed evidence</x:v>
      </x:c>
      <x:c r="G4" s="21" t="str">
        <x:v>Evidence ID</x:v>
      </x:c>
      <x:c r="H4" s="21" t="str">
        <x:v>Owner / reviewer</x:v>
      </x:c>
      <x:c r="I4" s="21" t="str">
        <x:v>Decision</x:v>
      </x:c>
      <x:c r="J4" s="21" t="str">
        <x:v>Status</x:v>
      </x:c>
    </x:row>
    <x:row r="5" ht="48" customHeight="1">
      <x:c r="A5" s="16" t="str">
        <x:v>FE-01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IF(OR(B5="",C5="",D5="",E5="",H5=""),"Incomplete",IF(G5="","Evidence required",IF(OR(I5="",I5="Open",I5="Pending review"),"Review required","Complete")))</x:f>
        <x:v>Incomplete</x:v>
      </x:c>
    </x:row>
    <x:row r="6" ht="48" customHeight="1">
      <x:c r="A6" s="16" t="str">
        <x:v>FE-02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IF(OR(B6="",C6="",D6="",E6="",H6=""),"Incomplete",IF(G6="","Evidence required",IF(OR(I6="",I6="Open",I6="Pending review"),"Review required","Complete")))</x:f>
        <x:v>Incomplete</x:v>
      </x:c>
    </x:row>
    <x:row r="7" ht="48" customHeight="1">
      <x:c r="A7" s="16" t="str">
        <x:v>FE-03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IF(OR(B7="",C7="",D7="",E7="",H7=""),"Incomplete",IF(G7="","Evidence required",IF(OR(I7="",I7="Open",I7="Pending review"),"Review required","Complete")))</x:f>
        <x:v>Incomplete</x:v>
      </x:c>
    </x:row>
    <x:row r="8" ht="48" customHeight="1">
      <x:c r="A8" s="16" t="str">
        <x:v>FE-04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IF(OR(B8="",C8="",D8="",E8="",H8=""),"Incomplete",IF(G8="","Evidence required",IF(OR(I8="",I8="Open",I8="Pending review"),"Review required","Complete")))</x:f>
        <x:v>Incomplete</x:v>
      </x:c>
    </x:row>
    <x:row r="9" ht="48" customHeight="1">
      <x:c r="A9" s="16" t="str">
        <x:v>FE-05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IF(OR(B9="",C9="",D9="",E9="",H9=""),"Incomplete",IF(G9="","Evidence required",IF(OR(I9="",I9="Open",I9="Pending review"),"Review required","Complete")))</x:f>
        <x:v>Incomplete</x:v>
      </x:c>
    </x:row>
    <x:row r="10" ht="48" customHeight="1">
      <x:c r="A10" s="17" t="str">
        <x:v>FE-06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>
        <x:f>IF(OR(B10="",C10="",D10="",E10="",H10=""),"Incomplete",IF(G10="","Evidence required",IF(OR(I10="",I10="Open",I10="Pending review"),"Review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8" priority="1" operator="containsText" text="Evidence required"/>
    <x:cfRule type="containsText" dxfId="9" priority="2" operator="containsText" text="Incomplete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"Open,Conditional,Accepted,Rejected,Deferred"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16" hidden="0" customWidth="1"/>
    <x:col min="8" max="8" width="14" hidden="0" customWidth="1"/>
    <x:col min="9" max="9" width="30" hidden="0" customWidth="1"/>
    <x:col min="10" max="10" width="20" hidden="0" customWidth="1"/>
    <x:col min="11" max="11" width="20" hidden="0" customWidth="1"/>
  </x:cols>
  <x:sheetData>
    <x:row r="1" ht="32" customHeight="1">
      <x:c r="A1" s="3" t="str">
        <x:v>Process &amp; Materials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Link each difference to product/process evidence, controls, limitations and review; do not create platform ranges.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21" t="str">
        <x:v>ID</x:v>
      </x:c>
      <x:c r="B4" s="21" t="str">
        <x:v>Unit operation</x:v>
      </x:c>
      <x:c r="C4" s="21" t="str">
        <x:v>Inputs / controls</x:v>
      </x:c>
      <x:c r="D4" s="21" t="str">
        <x:v>Receiving-unit difference</x:v>
      </x:c>
      <x:c r="E4" s="21" t="str">
        <x:v>Potential impact</x:v>
      </x:c>
      <x:c r="F4" s="21" t="str">
        <x:v>Evidence / control plan</x:v>
      </x:c>
      <x:c r="G4" s="21" t="str">
        <x:v>Decision</x:v>
      </x:c>
      <x:c r="H4" s="21" t="str">
        <x:v>Evidence ID</x:v>
      </x:c>
      <x:c r="I4" s="21" t="str">
        <x:v>Owner / reviewer</x:v>
      </x:c>
      <x:c r="J4" s="21" t="str">
        <x:v>Review state</x:v>
      </x:c>
      <x:c r="K4" s="21" t="str">
        <x:v>Status</x:v>
      </x:c>
    </x:row>
    <x:row r="5" ht="48" customHeight="1">
      <x:c r="A5" s="16" t="str">
        <x:v>PM-01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>
        <x:f>IF(OR(B5="",C5="",D5="",E5="",I5=""),"Incomplete",IF(H5="","Evidence required",IF(OR(J5="",J5="Open",J5="Pending review"),"Review required","Complete")))</x:f>
        <x:v>Incomplete</x:v>
      </x:c>
    </x:row>
    <x:row r="6" ht="48" customHeight="1">
      <x:c r="A6" s="16" t="str">
        <x:v>PM-02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>
        <x:f>IF(OR(B6="",C6="",D6="",E6="",I6=""),"Incomplete",IF(H6="","Evidence required",IF(OR(J6="",J6="Open",J6="Pending review"),"Review required","Complete")))</x:f>
        <x:v>Incomplete</x:v>
      </x:c>
    </x:row>
    <x:row r="7" ht="48" customHeight="1">
      <x:c r="A7" s="16" t="str">
        <x:v>PM-03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>
        <x:f>IF(OR(B7="",C7="",D7="",E7="",I7=""),"Incomplete",IF(H7="","Evidence required",IF(OR(J7="",J7="Open",J7="Pending review"),"Review required","Complete")))</x:f>
        <x:v>Incomplete</x:v>
      </x:c>
    </x:row>
    <x:row r="8" ht="48" customHeight="1">
      <x:c r="A8" s="16" t="str">
        <x:v>PM-04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>
        <x:f>IF(OR(B8="",C8="",D8="",E8="",I8=""),"Incomplete",IF(H8="","Evidence required",IF(OR(J8="",J8="Open",J8="Pending review"),"Review required","Complete")))</x:f>
        <x:v>Incomplete</x:v>
      </x:c>
    </x:row>
    <x:row r="9" ht="48" customHeight="1">
      <x:c r="A9" s="16" t="str">
        <x:v>PM-05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>
        <x:f>IF(OR(B9="",C9="",D9="",E9="",I9=""),"Incomplete",IF(H9="","Evidence required",IF(OR(J9="",J9="Open",J9="Pending review"),"Review required","Complete")))</x:f>
        <x:v>Incomplete</x:v>
      </x:c>
    </x:row>
    <x:row r="10" ht="48" customHeight="1">
      <x:c r="A10" s="17" t="str">
        <x:v>PM-06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>
        <x:f>IF(OR(B10="",C10="",D10="",E10="",I10=""),"Incomplete",IF(H10="","Evidence required",IF(OR(J10="",J10="Open",J10="Pending review"),"Review required","Complete")))</x:f>
        <x:v>Incomplete</x:v>
      </x:c>
    </x:row>
  </x:sheetData>
  <x:mergeCells>
    <x:mergeCell ref="A1:K1"/>
    <x:mergeCell ref="A2:K2"/>
  </x:mergeCells>
  <x:conditionalFormatting sqref="K5:K10">
    <x:cfRule type="containsText" dxfId="12" priority="1" operator="containsText" text="Evidence required"/>
    <x:cfRule type="containsText" dxfId="13" priority="2" operator="containsText" text="Incomplete"/>
    <x:cfRule type="containsText" dxfId="14" priority="3" operator="containsText" text="Review required"/>
    <x:cfRule type="containsText" dxfId="15" priority="4" operator="containsText" text="Complete"/>
  </x:conditionalFormatting>
  <x:dataValidations count="2">
    <x:dataValidation type="list" sqref="G5:G10">
      <x:formula1>"Open,Conditional,Accepted,Rejected,Deferred"</x:formula1>
    </x:dataValidation>
    <x:dataValidation type="list" sqref="J5:J10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36" hidden="0" customWidth="1"/>
    <x:col min="5" max="5" width="42" hidden="0" customWidth="1"/>
    <x:col min="6" max="6" width="38" hidden="0" customWidth="1"/>
    <x:col min="7" max="7" width="32" hidden="0" customWidth="1"/>
    <x:col min="8" max="8" width="14" hidden="0" customWidth="1"/>
    <x:col min="9" max="9" width="30" hidden="0" customWidth="1"/>
    <x:col min="10" max="10" width="20" hidden="0" customWidth="1"/>
    <x:col min="11" max="11" width="20" hidden="0" customWidth="1"/>
  </x:cols>
  <x:sheetData>
    <x:row r="1" ht="32" customHeight="1">
      <x:c r="A1" s="3" t="str">
        <x:v>Analytical Transfer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Validation, transfer/bridging, analyst and instrument qualification, data flow, and routine QC readiness remain distinct.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21" t="str">
        <x:v>ID</x:v>
      </x:c>
      <x:c r="B4" s="21" t="str">
        <x:v>Procedure/system</x:v>
      </x:c>
      <x:c r="C4" s="21" t="str">
        <x:v>Intended use</x:v>
      </x:c>
      <x:c r="D4" s="21" t="str">
        <x:v>Controlled version / scope</x:v>
      </x:c>
      <x:c r="E4" s="21" t="str">
        <x:v>Receiving-unit variables</x:v>
      </x:c>
      <x:c r="F4" s="21" t="str">
        <x:v>Transfer / bridge evidence</x:v>
      </x:c>
      <x:c r="G4" s="21" t="str">
        <x:v>Validation / readiness state</x:v>
      </x:c>
      <x:c r="H4" s="21" t="str">
        <x:v>Evidence ID</x:v>
      </x:c>
      <x:c r="I4" s="21" t="str">
        <x:v>Owner / reviewer</x:v>
      </x:c>
      <x:c r="J4" s="21" t="str">
        <x:v>Review state</x:v>
      </x:c>
      <x:c r="K4" s="21" t="str">
        <x:v>Status</x:v>
      </x:c>
    </x:row>
    <x:row r="5" ht="48" customHeight="1">
      <x:c r="A5" s="16" t="str">
        <x:v>AT-01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>
        <x:f>IF(OR(B5="",C5="",D5="",E5="",I5=""),"Incomplete",IF(H5="","Evidence required",IF(OR(J5="",J5="Open",J5="Pending review"),"Review required","Complete")))</x:f>
        <x:v>Incomplete</x:v>
      </x:c>
    </x:row>
    <x:row r="6" ht="48" customHeight="1">
      <x:c r="A6" s="16" t="str">
        <x:v>AT-02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>
        <x:f>IF(OR(B6="",C6="",D6="",E6="",I6=""),"Incomplete",IF(H6="","Evidence required",IF(OR(J6="",J6="Open",J6="Pending review"),"Review required","Complete")))</x:f>
        <x:v>Incomplete</x:v>
      </x:c>
    </x:row>
    <x:row r="7" ht="48" customHeight="1">
      <x:c r="A7" s="16" t="str">
        <x:v>AT-03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>
        <x:f>IF(OR(B7="",C7="",D7="",E7="",I7=""),"Incomplete",IF(H7="","Evidence required",IF(OR(J7="",J7="Open",J7="Pending review"),"Review required","Complete")))</x:f>
        <x:v>Incomplete</x:v>
      </x:c>
    </x:row>
    <x:row r="8" ht="48" customHeight="1">
      <x:c r="A8" s="16" t="str">
        <x:v>AT-04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>
        <x:f>IF(OR(B8="",C8="",D8="",E8="",I8=""),"Incomplete",IF(H8="","Evidence required",IF(OR(J8="",J8="Open",J8="Pending review"),"Review required","Complete")))</x:f>
        <x:v>Incomplete</x:v>
      </x:c>
    </x:row>
    <x:row r="9" ht="48" customHeight="1">
      <x:c r="A9" s="17" t="str">
        <x:v>AT-05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>
        <x:f>IF(OR(B9="",C9="",D9="",E9="",I9=""),"Incomplete",IF(H9="","Evidence required",IF(OR(J9="",J9="Open",J9="Pending review"),"Review required","Complete")))</x:f>
        <x:v>Incomplete</x:v>
      </x:c>
    </x:row>
  </x:sheetData>
  <x:mergeCells>
    <x:mergeCell ref="A1:K1"/>
    <x:mergeCell ref="A2:K2"/>
  </x:mergeCells>
  <x:conditionalFormatting sqref="K5:K9">
    <x:cfRule type="containsText" dxfId="16" priority="1" operator="containsText" text="Evidence required"/>
    <x:cfRule type="containsText" dxfId="17" priority="2" operator="containsText" text="Incomplete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J5:J9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44" hidden="0" customWidth="1"/>
    <x:col min="5" max="5" width="38" hidden="0" customWidth="1"/>
    <x:col min="6" max="6" width="24" hidden="0" customWidth="1"/>
    <x:col min="7" max="7" width="14" hidden="0" customWidth="1"/>
    <x:col min="8" max="8" width="32" hidden="0" customWidth="1"/>
    <x:col min="9" max="9" width="20" hidden="0" customWidth="1"/>
    <x:col min="10" max="10" width="20" hidden="0" customWidth="1"/>
  </x:cols>
  <x:sheetData>
    <x:row r="1" ht="32" customHeight="1">
      <x:c r="A1" s="3" t="str">
        <x:v>Validation &amp; Commitments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State the question each activity answers; execution evidence cannot silently close comparability, filing or routine readiness.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21" t="str">
        <x:v>ID</x:v>
      </x:c>
      <x:c r="B4" s="21" t="str">
        <x:v>Evidence gate</x:v>
      </x:c>
      <x:c r="C4" s="21" t="str">
        <x:v>Question answered</x:v>
      </x:c>
      <x:c r="D4" s="21" t="str">
        <x:v>Required basis</x:v>
      </x:c>
      <x:c r="E4" s="21" t="str">
        <x:v>Current state / limitation</x:v>
      </x:c>
      <x:c r="F4" s="21" t="str">
        <x:v>Decision interface</x:v>
      </x:c>
      <x:c r="G4" s="21" t="str">
        <x:v>Evidence ID</x:v>
      </x:c>
      <x:c r="H4" s="21" t="str">
        <x:v>Owner / reviewer</x:v>
      </x:c>
      <x:c r="I4" s="21" t="str">
        <x:v>Review state</x:v>
      </x:c>
      <x:c r="J4" s="21" t="str">
        <x:v>Status</x:v>
      </x:c>
    </x:row>
    <x:row r="5" ht="48" customHeight="1">
      <x:c r="A5" s="16" t="str">
        <x:v>VC-01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IF(OR(B5="",C5="",D5="",E5="",H5=""),"Incomplete",IF(G5="","Evidence required",IF(OR(I5="",I5="Open",I5="Pending review"),"Review required","Complete")))</x:f>
        <x:v>Incomplete</x:v>
      </x:c>
    </x:row>
    <x:row r="6" ht="48" customHeight="1">
      <x:c r="A6" s="16" t="str">
        <x:v>VC-02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IF(OR(B6="",C6="",D6="",E6="",H6=""),"Incomplete",IF(G6="","Evidence required",IF(OR(I6="",I6="Open",I6="Pending review"),"Review required","Complete")))</x:f>
        <x:v>Incomplete</x:v>
      </x:c>
    </x:row>
    <x:row r="7" ht="48" customHeight="1">
      <x:c r="A7" s="16" t="str">
        <x:v>VC-03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IF(OR(B7="",C7="",D7="",E7="",H7=""),"Incomplete",IF(G7="","Evidence required",IF(OR(I7="",I7="Open",I7="Pending review"),"Review required","Complete")))</x:f>
        <x:v>Incomplete</x:v>
      </x:c>
    </x:row>
    <x:row r="8" ht="48" customHeight="1">
      <x:c r="A8" s="16" t="str">
        <x:v>VC-04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IF(OR(B8="",C8="",D8="",E8="",H8=""),"Incomplete",IF(G8="","Evidence required",IF(OR(I8="",I8="Open",I8="Pending review"),"Review required","Complete")))</x:f>
        <x:v>Incomplete</x:v>
      </x:c>
    </x:row>
    <x:row r="9" ht="48" customHeight="1">
      <x:c r="A9" s="17" t="str">
        <x:v>VC-05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7" t="str">
        <x:f>IF(OR(B9="",C9="",D9="",E9="",H9=""),"Incomplete",IF(G9="","Evidence required",IF(OR(I9="",I9="Open",I9="Pending review"),"Review required","Complete")))</x:f>
        <x:v>Incomplete</x:v>
      </x:c>
    </x:row>
  </x:sheetData>
  <x:mergeCells>
    <x:mergeCell ref="A1:J1"/>
    <x:mergeCell ref="A2:J2"/>
  </x:mergeCells>
  <x:conditionalFormatting sqref="J5:J9">
    <x:cfRule type="containsText" dxfId="20" priority="1" operator="containsText" text="Evidence required"/>
    <x:cfRule type="containsText" dxfId="21" priority="2" operator="containsText" text="Incomplete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9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34" hidden="0" customWidth="1"/>
    <x:col min="5" max="5" width="18" hidden="0" customWidth="1"/>
    <x:col min="6" max="6" width="28" hidden="0" customWidth="1"/>
    <x:col min="7" max="7" width="44" hidden="0" customWidth="1"/>
    <x:col min="8" max="8" width="26" hidden="0" customWidth="1"/>
    <x:col min="9" max="9" width="20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Each evidence object needs a controlled identifier, locator, version, applicability, limitation, owner and review state.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21" t="str">
        <x:v>ID</x:v>
      </x:c>
      <x:c r="B4" s="21" t="str">
        <x:v>Evidence object</x:v>
      </x:c>
      <x:c r="C4" s="21" t="str">
        <x:v>Source / document ID</x:v>
      </x:c>
      <x:c r="D4" s="21" t="str">
        <x:v>Controlled locator</x:v>
      </x:c>
      <x:c r="E4" s="21" t="str">
        <x:v>Version / date</x:v>
      </x:c>
      <x:c r="F4" s="21" t="str">
        <x:v>Applies to</x:v>
      </x:c>
      <x:c r="G4" s="21" t="str">
        <x:v>Limitation</x:v>
      </x:c>
      <x:c r="H4" s="21" t="str">
        <x:v>Owner</x:v>
      </x:c>
      <x:c r="I4" s="21" t="str">
        <x:v>Review state</x:v>
      </x:c>
      <x:c r="J4" s="21" t="str">
        <x:v>Status</x:v>
      </x:c>
    </x:row>
    <x:row r="5" ht="48" customHeight="1">
      <x:c r="A5" s="16" t="str">
        <x:v>EV-01</x:v>
      </x:c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>
        <x:f>IF(OR(B5="",C5="",D5="",E5="",F5="",G5="",H5=""),"Incomplete",IF(C5="","Evidence required",IF(OR(I5="",I5="Open",I5="Pending review"),"Review required","Complete")))</x:f>
        <x:v>Incomplete</x:v>
      </x:c>
    </x:row>
    <x:row r="6" ht="48" customHeight="1">
      <x:c r="A6" s="16" t="str">
        <x:v>EV-02</x:v>
      </x:c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>
        <x:f>IF(OR(B6="",C6="",D6="",E6="",F6="",G6="",H6=""),"Incomplete",IF(C6="","Evidence required",IF(OR(I6="",I6="Open",I6="Pending review"),"Review required","Complete")))</x:f>
        <x:v>Incomplete</x:v>
      </x:c>
    </x:row>
    <x:row r="7" ht="48" customHeight="1">
      <x:c r="A7" s="16" t="str">
        <x:v>EV-03</x:v>
      </x:c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>
        <x:f>IF(OR(B7="",C7="",D7="",E7="",F7="",G7="",H7=""),"Incomplete",IF(C7="","Evidence required",IF(OR(I7="",I7="Open",I7="Pending review"),"Review required","Complete")))</x:f>
        <x:v>Incomplete</x:v>
      </x:c>
    </x:row>
    <x:row r="8" ht="48" customHeight="1">
      <x:c r="A8" s="16" t="str">
        <x:v>EV-04</x:v>
      </x:c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>
        <x:f>IF(OR(B8="",C8="",D8="",E8="",F8="",G8="",H8=""),"Incomplete",IF(C8="","Evidence required",IF(OR(I8="",I8="Open",I8="Pending review"),"Review required","Complete")))</x:f>
        <x:v>Incomplete</x:v>
      </x:c>
    </x:row>
    <x:row r="9" ht="48" customHeight="1">
      <x:c r="A9" s="16" t="str">
        <x:v>EV-05</x:v>
      </x:c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>
        <x:f>IF(OR(B9="",C9="",D9="",E9="",F9="",G9="",H9=""),"Incomplete",IF(C9="","Evidence required",IF(OR(I9="",I9="Open",I9="Pending review"),"Review required","Complete")))</x:f>
        <x:v>Incomplete</x:v>
      </x:c>
    </x:row>
    <x:row r="10" ht="48" customHeight="1">
      <x:c r="A10" s="16" t="str">
        <x:v>EV-06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>
        <x:f>IF(OR(B10="",C10="",D10="",E10="",F10="",G10="",H10=""),"Incomplete",IF(C10="","Evidence required",IF(OR(I10="",I10="Open",I10="Pending review"),"Review required","Complete")))</x:f>
        <x:v>Incomplete</x:v>
      </x:c>
    </x:row>
    <x:row r="11" ht="48" customHeight="1">
      <x:c r="A11" s="16" t="str">
        <x:v>EV-07</x:v>
      </x:c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>
        <x:f>IF(OR(B11="",C11="",D11="",E11="",F11="",G11="",H11=""),"Incomplete",IF(C11="","Evidence required",IF(OR(I11="",I11="Open",I11="Pending review"),"Review required","Complete")))</x:f>
        <x:v>Incomplete</x:v>
      </x:c>
    </x:row>
    <x:row r="12" ht="48" customHeight="1">
      <x:c r="A12" s="16" t="str">
        <x:v>EV-08</x:v>
      </x:c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>
        <x:f>IF(OR(B12="",C12="",D12="",E12="",F12="",G12="",H12=""),"Incomplete",IF(C12="","Evidence required",IF(OR(I12="",I12="Open",I12="Pending review"),"Review required","Complete")))</x:f>
        <x:v>Incomplete</x:v>
      </x:c>
    </x:row>
    <x:row r="13" ht="48" customHeight="1">
      <x:c r="A13" s="16" t="str">
        <x:v>EV-09</x:v>
      </x:c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>
        <x:f>IF(OR(B13="",C13="",D13="",E13="",F13="",G13="",H13=""),"Incomplete",IF(C13="","Evidence required",IF(OR(I13="",I13="Open",I13="Pending review"),"Review required","Complete")))</x:f>
        <x:v>Incomplete</x:v>
      </x:c>
    </x:row>
    <x:row r="14" ht="48" customHeight="1">
      <x:c r="A14" s="17" t="str">
        <x:v>EV-10</x:v>
      </x:c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7" t="str">
        <x:f>IF(OR(B14="",C14="",D14="",E14="",F14="",G14="",H14=""),"Incomplete",IF(C14="","Evidence required",IF(OR(I14="",I14="Open",I14="Pending review"),"Review required","Complete")))</x:f>
        <x:v>Incomplete</x:v>
      </x:c>
    </x:row>
  </x:sheetData>
  <x:mergeCells>
    <x:mergeCell ref="A1:J1"/>
    <x:mergeCell ref="A2:J2"/>
  </x:mergeCells>
  <x:conditionalFormatting sqref="J5:J14">
    <x:cfRule type="containsText" dxfId="24" priority="1" operator="containsText" text="Evidence required"/>
    <x:cfRule type="containsText" dxfId="25" priority="2" operator="containsText" text="Incomplete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4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8" hidden="0" customWidth="1"/>
    <x:col min="4" max="4" width="36" hidden="0" customWidth="1"/>
    <x:col min="5" max="5" width="14" hidden="0" customWidth="1"/>
    <x:col min="6" max="6" width="26" hidden="0" customWidth="1"/>
    <x:col min="7" max="7" width="18" hidden="0" customWidth="1"/>
    <x:col min="8" max="8" width="46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An action closes only with its evidence and authorized decision; due-date or protocol completion alone is insufficient.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1" t="str">
        <x:v>Action ID</x:v>
      </x:c>
      <x:c r="B4" s="21" t="str">
        <x:v>Action / decision</x:v>
      </x:c>
      <x:c r="C4" s="21" t="str">
        <x:v>Linked IDs</x:v>
      </x:c>
      <x:c r="D4" s="21" t="str">
        <x:v>Owner / reviewer</x:v>
      </x:c>
      <x:c r="E4" s="21" t="str">
        <x:v>Risk</x:v>
      </x:c>
      <x:c r="F4" s="21" t="str">
        <x:v>Due gate</x:v>
      </x:c>
      <x:c r="G4" s="21" t="str">
        <x:v>Status</x:v>
      </x:c>
      <x:c r="H4" s="21" t="str">
        <x:v>Closure evidence / acceptance</x:v>
      </x:c>
    </x:row>
    <x:row r="5" ht="48" customHeight="1">
      <x:c r="A5" s="16" t="str">
        <x:v>ACT-01</x:v>
      </x:c>
      <x:c r="B5" s="16" t="str"/>
      <x:c r="C5" s="16" t="str"/>
      <x:c r="D5" s="16" t="str"/>
      <x:c r="E5" s="16" t="str"/>
      <x:c r="F5" s="16" t="str"/>
      <x:c r="G5" s="16" t="str">
        <x:v>Not started</x:v>
      </x:c>
      <x:c r="H5" s="16" t="str"/>
    </x:row>
    <x:row r="6" ht="48" customHeight="1">
      <x:c r="A6" s="16" t="str">
        <x:v>ACT-02</x:v>
      </x:c>
      <x:c r="B6" s="16" t="str"/>
      <x:c r="C6" s="16" t="str"/>
      <x:c r="D6" s="16" t="str"/>
      <x:c r="E6" s="16" t="str"/>
      <x:c r="F6" s="16" t="str"/>
      <x:c r="G6" s="16" t="str">
        <x:v>Not started</x:v>
      </x:c>
      <x:c r="H6" s="16" t="str"/>
    </x:row>
    <x:row r="7" ht="48" customHeight="1">
      <x:c r="A7" s="16" t="str">
        <x:v>ACT-03</x:v>
      </x:c>
      <x:c r="B7" s="16" t="str"/>
      <x:c r="C7" s="16" t="str"/>
      <x:c r="D7" s="16" t="str"/>
      <x:c r="E7" s="16" t="str"/>
      <x:c r="F7" s="16" t="str"/>
      <x:c r="G7" s="16" t="str">
        <x:v>Not started</x:v>
      </x:c>
      <x:c r="H7" s="16" t="str"/>
    </x:row>
    <x:row r="8" ht="48" customHeight="1">
      <x:c r="A8" s="16" t="str">
        <x:v>ACT-04</x:v>
      </x:c>
      <x:c r="B8" s="16" t="str"/>
      <x:c r="C8" s="16" t="str"/>
      <x:c r="D8" s="16" t="str"/>
      <x:c r="E8" s="16" t="str"/>
      <x:c r="F8" s="16" t="str"/>
      <x:c r="G8" s="16" t="str">
        <x:v>Not started</x:v>
      </x:c>
      <x:c r="H8" s="16" t="str"/>
    </x:row>
    <x:row r="9" ht="48" customHeight="1">
      <x:c r="A9" s="17" t="str">
        <x:v>ACT-05</x:v>
      </x:c>
      <x:c r="B9" s="17" t="str"/>
      <x:c r="C9" s="17" t="str"/>
      <x:c r="D9" s="17" t="str"/>
      <x:c r="E9" s="17" t="str"/>
      <x:c r="F9" s="17" t="str"/>
      <x:c r="G9" s="17" t="str">
        <x:v>Not started</x:v>
      </x:c>
      <x:c r="H9" s="17" t="str"/>
    </x:row>
  </x:sheetData>
  <x:mergeCells>
    <x:mergeCell ref="A1:H1"/>
    <x:mergeCell ref="A2:H2"/>
  </x:mergeCells>
  <x:conditionalFormatting sqref="G5:G9">
    <x:cfRule type="containsText" dxfId="28" priority="1" operator="containsText" text="Open"/>
    <x:cfRule type="containsText" dxfId="29" priority="2" operator="containsText" text="Closed"/>
  </x:conditionalFormatting>
  <x:dataValidations count="2">
    <x:dataValidation type="list" sqref="E5:E9">
      <x:formula1>"Low,Medium,High,Critical"</x:formula1>
    </x:dataValidation>
    <x:dataValidation type="list" sqref="G5:G9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0" hidden="0" customWidth="1"/>
    <x:col min="4" max="4" width="18" hidden="0" customWidth="1"/>
    <x:col min="5" max="5" width="65" hidden="0" customWidth="1"/>
    <x:col min="6" max="6" width="58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2" customHeight="1">
      <x:c r="A2" s="7" t="str">
        <x:v>Official-source links, document control, applicability, limitations and review ownership.</x:v>
      </x:c>
      <x:c r="B2" s="7"/>
      <x:c r="C2" s="7"/>
      <x:c r="D2" s="7"/>
      <x:c r="E2" s="7"/>
      <x:c r="F2" s="7"/>
    </x:row>
    <x:row r="4">
      <x:c r="A4" s="30" t="str">
        <x:v>Control field</x:v>
      </x:c>
      <x:c r="B4" s="30" t="str">
        <x:v>Value</x:v>
      </x:c>
      <x:c r="C4" s="28"/>
      <x:c r="D4" s="28"/>
      <x:c r="E4" s="28"/>
      <x:c r="F4" s="28"/>
    </x:row>
    <x:row r="5" ht="48" customHeight="1">
      <x:c r="A5" s="31" t="str">
        <x:v>Package version</x:v>
      </x:c>
      <x:c r="B5" s="32" t="str">
        <x:v>1.0.0-review</x:v>
      </x:c>
    </x:row>
    <x:row r="6" ht="48" customHeight="1">
      <x:c r="A6" s="31" t="str">
        <x:v>Review status</x:v>
      </x:c>
      <x:c r="B6" s="32" t="str">
        <x:v>Under review</x:v>
      </x:c>
    </x:row>
    <x:row r="7" ht="48" customHeight="1">
      <x:c r="A7" s="31" t="str">
        <x:v>Applicability and limitations</x:v>
      </x:c>
      <x:c r="B7" s="32" t="str">
        <x:v>Protein-biologics transfer evidence mapping; adapt to product, modality, site, market and authorized systems. No parameters, ranges, acceptance criteria, batch counts, validation design, filing category or approval.</x:v>
      </x:c>
    </x:row>
    <x:row r="8" ht="48" customHeight="1">
      <x:c r="A8" s="31" t="str">
        <x:v>Decision boundary</x:v>
      </x:c>
      <x:c r="B8" s="32" t="str">
        <x:v>Transfer readiness, execution authorization, analytical transfer, comparability, validation, regulatory implementation, routine readiness and acceptance remain distinct.</x:v>
      </x:c>
    </x:row>
    <x:row r="9" ht="48" customHeight="1">
      <x:c r="A9" s="31" t="str">
        <x:v>Reviewed by role</x:v>
      </x:c>
      <x:c r="B9" s="32" t="str">
        <x:v>Transfer lead; product/process development; MSAT/manufacturing; engineering/automation; analytical/QC/statistics; materials/supply; validation; Quality Unit; regulatory CMC; EHS/biosafety as applicable.</x:v>
      </x:c>
    </x:row>
    <x:row r="10" ht="48" customHeight="1">
      <x:c r="A10" s="31" t="str">
        <x:v>Review record</x:v>
      </x:c>
      <x:c r="B10" s="32" t="str">
        <x:v>No qualified review recorded. Do not represent as SME-reviewed, validated, inspection-ready, transfer-accepted, routine-ready or regulator-approved.</x:v>
      </x:c>
    </x:row>
    <x:row r="12" ht="30" customHeight="1">
      <x:c r="A12" s="21" t="str">
        <x:v>Source ID</x:v>
      </x:c>
      <x:c r="B12" s="21" t="str">
        <x:v>Publisher</x:v>
      </x:c>
      <x:c r="C12" s="21" t="str">
        <x:v>Title</x:v>
      </x:c>
      <x:c r="D12" s="21" t="str">
        <x:v>Edition/status</x:v>
      </x:c>
      <x:c r="E12" s="21" t="str">
        <x:v>Official URL</x:v>
      </x:c>
      <x:c r="F12" s="21" t="str">
        <x:v>Licensing / applicability boundary</x:v>
      </x:c>
    </x:row>
    <x:row r="13" ht="54" customHeight="1">
      <x:c r="A13" s="16" t="str">
        <x:v>WHO-TRS-1044-ANNEX4</x:v>
      </x:c>
      <x:c r="B13" s="16" t="str">
        <x:v>WHO</x:v>
      </x:c>
      <x:c r="C13" s="16" t="str">
        <x:v>Technology transfer in pharmaceutical manufacturing, TRS 1044 Annex 4</x:v>
      </x:c>
      <x:c r="D13" s="16" t="str">
        <x:v>2022</x:v>
      </x:c>
      <x:c r="E13" s="16" t="str">
        <x:v>https://www.who.int/publications/m/item/trs1044-annex4</x:v>
      </x:c>
      <x:c r="F13" s="16" t="str">
        <x:v>General transfer guidance; adapt case by case and do not infer product-specific criteria.</x:v>
      </x:c>
    </x:row>
    <x:row r="14" ht="54" customHeight="1">
      <x:c r="A14" s="16" t="str">
        <x:v>ICH-Q10</x:v>
      </x:c>
      <x:c r="B14" s="16" t="str">
        <x:v>ICH</x:v>
      </x:c>
      <x:c r="C14" s="16" t="str">
        <x:v>Pharmaceutical Quality System Q10</x:v>
      </x:c>
      <x:c r="D14" s="16" t="str">
        <x:v>Step 4</x:v>
      </x:c>
      <x:c r="E14" s="16" t="str">
        <x:v>https://database.ich.org/sites/default/files/Q10_Guideline.pdf</x:v>
      </x:c>
      <x:c r="F14" s="16" t="str">
        <x:v>PQS and knowledge-management context; not transfer or site approval.</x:v>
      </x:c>
    </x:row>
    <x:row r="15" ht="54" customHeight="1">
      <x:c r="A15" s="16" t="str">
        <x:v>ICH-Q9-R1</x:v>
      </x:c>
      <x:c r="B15" s="16" t="str">
        <x:v>ICH</x:v>
      </x:c>
      <x:c r="C15" s="16" t="str">
        <x:v>Quality Risk Management Q9(R1)</x:v>
      </x:c>
      <x:c r="D15" s="16" t="str">
        <x:v>Step 4</x:v>
      </x:c>
      <x:c r="E15" s="16" t="str">
        <x:v>https://database.ich.org/sites/default/files/ICH_Q9-R1_Guideline_Step4_2022_1219.pdf</x:v>
      </x:c>
      <x:c r="F15" s="16" t="str">
        <x:v>Risk ranking does not create missing evidence or authorization.</x:v>
      </x:c>
    </x:row>
    <x:row r="16" ht="54" customHeight="1">
      <x:c r="A16" s="16" t="str">
        <x:v>ICH-Q5E</x:v>
      </x:c>
      <x:c r="B16" s="16" t="str">
        <x:v>ICH</x:v>
      </x:c>
      <x:c r="C16" s="16" t="str">
        <x:v>Comparability of Biotechnological/Biological Products</x:v>
      </x:c>
      <x:c r="D16" s="16" t="str">
        <x:v>Step 4</x:v>
      </x:c>
      <x:c r="E16" s="16" t="str">
        <x:v>https://database.ich.org/sites/default/files/Q5E_Guideline.pdf</x:v>
      </x:c>
      <x:c r="F16" s="16" t="str">
        <x:v>Comparability is distinct from transfer completion and does not require analytical identity.</x:v>
      </x:c>
    </x:row>
    <x:row r="17" ht="54" customHeight="1">
      <x:c r="A17" s="16" t="str">
        <x:v>ICH-Q8-R2</x:v>
      </x:c>
      <x:c r="B17" s="16" t="str">
        <x:v>ICH</x:v>
      </x:c>
      <x:c r="C17" s="16" t="str">
        <x:v>Pharmaceutical Development Q8(R2)</x:v>
      </x:c>
      <x:c r="D17" s="16" t="str">
        <x:v>Step 4</x:v>
      </x:c>
      <x:c r="E17" s="16" t="str">
        <x:v>https://database.ich.org/sites/default/files/Q8%28R2%29%20Guideline.pdf</x:v>
      </x:c>
      <x:c r="F17" s="16" t="str">
        <x:v>No universal CQA, CPP, design space or operating range.</x:v>
      </x:c>
    </x:row>
    <x:row r="18" ht="54" customHeight="1">
      <x:c r="A18" s="16" t="str">
        <x:v>ICH-Q11</x:v>
      </x:c>
      <x:c r="B18" s="16" t="str">
        <x:v>ICH</x:v>
      </x:c>
      <x:c r="C18" s="16" t="str">
        <x:v>Development and Manufacture of Drug Substances Q11</x:v>
      </x:c>
      <x:c r="D18" s="16" t="str">
        <x:v>Step 4</x:v>
      </x:c>
      <x:c r="E18" s="16" t="str">
        <x:v>https://database.ich.org/sites/default/files/Q11_Guideline.pdf</x:v>
      </x:c>
      <x:c r="F18" s="16" t="str">
        <x:v>Apply within drug-substance and regional scope.</x:v>
      </x:c>
    </x:row>
    <x:row r="19" ht="54" customHeight="1">
      <x:c r="A19" s="16" t="str">
        <x:v>ICH-Q6B</x:v>
      </x:c>
      <x:c r="B19" s="16" t="str">
        <x:v>ICH</x:v>
      </x:c>
      <x:c r="C19" s="16" t="str">
        <x:v>Specifications for Biotechnological/Biological Products Q6B</x:v>
      </x:c>
      <x:c r="D19" s="16" t="str">
        <x:v>Step 4</x:v>
      </x:c>
      <x:c r="E19" s="16" t="str">
        <x:v>https://database.ich.org/sites/default/files/Q6B_Guideline.pdf</x:v>
      </x:c>
      <x:c r="F19" s="16" t="str">
        <x:v>Specifications cover a selected subset; no product-specific criteria supplied.</x:v>
      </x:c>
    </x:row>
    <x:row r="20" ht="54" customHeight="1">
      <x:c r="A20" s="16" t="str">
        <x:v>ICH-Q5C</x:v>
      </x:c>
      <x:c r="B20" s="16" t="str">
        <x:v>ICH</x:v>
      </x:c>
      <x:c r="C20" s="16" t="str">
        <x:v>Stability Testing of Biotechnological/Biological Products Q5C</x:v>
      </x:c>
      <x:c r="D20" s="16" t="str">
        <x:v>Step 4</x:v>
      </x:c>
      <x:c r="E20" s="16" t="str">
        <x:v>https://database.ich.org/sites/default/files/Q5C%20Guideline.pdf</x:v>
      </x:c>
      <x:c r="F20" s="16" t="str">
        <x:v>No schedule, storage condition, criterion or shelf life supplied.</x:v>
      </x:c>
    </x:row>
    <x:row r="21" ht="54" customHeight="1">
      <x:c r="A21" s="16" t="str">
        <x:v>ICH-Q2-R2</x:v>
      </x:c>
      <x:c r="B21" s="16" t="str">
        <x:v>ICH</x:v>
      </x:c>
      <x:c r="C21" s="16" t="str">
        <x:v>Validation of Analytical Procedures Q2(R2)</x:v>
      </x:c>
      <x:c r="D21" s="16" t="str">
        <x:v>Step 4</x:v>
      </x:c>
      <x:c r="E21" s="16" t="str">
        <x:v>https://database.ich.org/sites/default/files/ICH_Q2-R2_Guideline_2023_1130.pdf</x:v>
      </x:c>
      <x:c r="F21" s="16" t="str">
        <x:v>Validation evidence depends on intended use and regional implementation.</x:v>
      </x:c>
    </x:row>
    <x:row r="22" ht="54" customHeight="1">
      <x:c r="A22" s="16" t="str">
        <x:v>ICH-Q14</x:v>
      </x:c>
      <x:c r="B22" s="16" t="str">
        <x:v>ICH</x:v>
      </x:c>
      <x:c r="C22" s="16" t="str">
        <x:v>Analytical Procedure Development Q14</x:v>
      </x:c>
      <x:c r="D22" s="16" t="str">
        <x:v>Step 4</x:v>
      </x:c>
      <x:c r="E22" s="16" t="str">
        <x:v>https://database.ich.org/sites/default/files/ICH_Q14_Guideline_2023_1116.pdf</x:v>
      </x:c>
      <x:c r="F22" s="16" t="str">
        <x:v>Transfer/bridging examples do not approve a product procedure.</x:v>
      </x:c>
    </x:row>
    <x:row r="23" ht="54" customHeight="1">
      <x:c r="A23" s="17" t="str">
        <x:v>FDA-PROCESS-VALIDATION-2011</x:v>
      </x:c>
      <x:c r="B23" s="17" t="str">
        <x:v>FDA</x:v>
      </x:c>
      <x:c r="C23" s="17" t="str">
        <x:v>Process Validation: General Principles and Practices</x:v>
      </x:c>
      <x:c r="D23" s="17" t="str">
        <x:v>Final guidance</x:v>
      </x:c>
      <x:c r="E23" s="17" t="str">
        <x:v>https://www.fda.gov/regulatory-information/search-fda-guidance-documents/process-validation-general-principles-and-practices</x:v>
      </x:c>
      <x:c r="F23" s="17" t="str">
        <x:v>Nonbinding US guidance; product and jurisdiction applicability must be verified.</x:v>
      </x:c>
    </x:row>
  </x:sheetData>
  <x:mergeCells>
    <x:mergeCell ref="A1:F1"/>
    <x:mergeCell ref="A2:F2"/>
    <x:mergeCell ref="B4:F4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6" hidden="0" customWidth="1"/>
    <x:col min="5" max="5" width="24" hidden="0" customWidth="1"/>
  </x:cols>
  <x:sheetData>
    <x:row r="1" ht="32" customHeight="1">
      <x:c r="A1" s="3" t="str">
        <x:v>Controlled Lists</x:v>
      </x:c>
      <x:c r="B1" s="3"/>
      <x:c r="C1" s="3"/>
      <x:c r="D1" s="3"/>
      <x:c r="E1" s="3"/>
    </x:row>
    <x:row r="2" ht="32" customHeight="1">
      <x:c r="A2" s="7" t="str">
        <x:v>Editable vocabularies used by data-validation rules.</x:v>
      </x:c>
      <x:c r="B2" s="7"/>
      <x:c r="C2" s="7"/>
      <x:c r="D2" s="7"/>
      <x:c r="E2" s="7"/>
    </x:row>
    <x:row r="4" ht="30" customHeight="1">
      <x:c r="A4" s="21" t="str">
        <x:v>statuses</x:v>
      </x:c>
      <x:c r="B4" s="21" t="str">
        <x:v>evidence</x:v>
      </x:c>
      <x:c r="C4" s="21" t="str">
        <x:v>decisions</x:v>
      </x:c>
      <x:c r="D4" s="21" t="str">
        <x:v>risk</x:v>
      </x:c>
      <x:c r="E4" s="21" t="str">
        <x:v>applicability</x:v>
      </x:c>
    </x:row>
    <x:row r="5">
      <x:c r="A5" s="16" t="str">
        <x:v>Not started</x:v>
      </x:c>
      <x:c r="B5" s="16" t="str">
        <x:v>Missing</x:v>
      </x:c>
      <x:c r="C5" s="16" t="str">
        <x:v>Open</x:v>
      </x:c>
      <x:c r="D5" s="16" t="str">
        <x:v>Low</x:v>
      </x:c>
      <x:c r="E5" s="16" t="str">
        <x:v>Applicable</x:v>
      </x:c>
    </x:row>
    <x:row r="6">
      <x:c r="A6" s="16" t="str">
        <x:v>In progress</x:v>
      </x:c>
      <x:c r="B6" s="16" t="str">
        <x:v>Draft</x:v>
      </x:c>
      <x:c r="C6" s="16" t="str">
        <x:v>Conditional</x:v>
      </x:c>
      <x:c r="D6" s="16" t="str">
        <x:v>Medium</x:v>
      </x:c>
      <x:c r="E6" s="16" t="str">
        <x:v>Partially applicable</x:v>
      </x:c>
    </x:row>
    <x:row r="7">
      <x:c r="A7" s="16" t="str">
        <x:v>Pending review</x:v>
      </x:c>
      <x:c r="B7" s="16" t="str">
        <x:v>Available</x:v>
      </x:c>
      <x:c r="C7" s="16" t="str">
        <x:v>Accepted</x:v>
      </x:c>
      <x:c r="D7" s="16" t="str">
        <x:v>High</x:v>
      </x:c>
      <x:c r="E7" s="16" t="str">
        <x:v>Not applicable</x:v>
      </x:c>
    </x:row>
    <x:row r="8">
      <x:c r="A8" s="16" t="str">
        <x:v>Accepted</x:v>
      </x:c>
      <x:c r="B8" s="16" t="str">
        <x:v>Verified</x:v>
      </x:c>
      <x:c r="C8" s="16" t="str">
        <x:v>Rejected</x:v>
      </x:c>
      <x:c r="D8" s="16" t="str">
        <x:v>Critical</x:v>
      </x:c>
      <x:c r="E8" s="16" t="str">
        <x:v>Unconfirmed</x:v>
      </x:c>
    </x:row>
    <x:row r="9">
      <x:c r="A9" s="16" t="str">
        <x:v>Rejected</x:v>
      </x:c>
      <x:c r="B9" s="16" t="str">
        <x:v>Superseded</x:v>
      </x:c>
      <x:c r="C9" s="16" t="str">
        <x:v>Deferred</x:v>
      </x:c>
      <x:c r="D9" s="16" t="str"/>
      <x:c r="E9" s="16" t="str"/>
    </x:row>
    <x:row r="10">
      <x:c r="A10" s="16" t="str">
        <x:v>Deferred</x:v>
      </x:c>
      <x:c r="B10" s="16" t="str"/>
      <x:c r="C10" s="16" t="str"/>
      <x:c r="D10" s="16" t="str"/>
      <x:c r="E10" s="16" t="str"/>
    </x:row>
    <x:row r="11">
      <x:c r="A11" s="17" t="str">
        <x:v>Closed</x:v>
      </x:c>
      <x:c r="B11" s="17" t="str"/>
      <x:c r="C11" s="17" t="str"/>
      <x:c r="D11" s="17" t="str"/>
      <x:c r="E11" s="17" t="str"/>
    </x:row>
  </x:sheetData>
  <x:mergeCells>
    <x:mergeCell ref="A1:E1"/>
    <x:mergeCell ref="A2:E2"/>
  </x:mergeCells>
  <x:pageMargins left="0.7" right="0.7" top="0.75" bottom="0.75" header="0.3" footer="0.3"/>
</x:worksheet>
</file>