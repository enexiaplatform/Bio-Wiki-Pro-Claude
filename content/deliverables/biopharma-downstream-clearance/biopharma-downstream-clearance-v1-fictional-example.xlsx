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f51edaae1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210a0181926c4bf9"/>
    <x:sheet xmlns:r="http://schemas.openxmlformats.org/officeDocument/2006/relationships" name="Decision Brief" sheetId="2" r:id="R72ea68d1884b4338"/>
    <x:sheet xmlns:r="http://schemas.openxmlformats.org/officeDocument/2006/relationships" name="Targets &amp; Attributes" sheetId="3" r:id="R0458caf0e99c48ff"/>
    <x:sheet xmlns:r="http://schemas.openxmlformats.org/officeDocument/2006/relationships" name="Unit Operations" sheetId="4" r:id="Rae9cd6573f8b406e"/>
    <x:sheet xmlns:r="http://schemas.openxmlformats.org/officeDocument/2006/relationships" name="Clearance Claims" sheetId="5" r:id="Re311263742524bf1"/>
    <x:sheet xmlns:r="http://schemas.openxmlformats.org/officeDocument/2006/relationships" name="Evidence Register" sheetId="6" r:id="R7bd399e1a0b747af"/>
    <x:sheet xmlns:r="http://schemas.openxmlformats.org/officeDocument/2006/relationships" name="Review &amp; Actions" sheetId="7" r:id="R0a49360ecdf04588"/>
    <x:sheet xmlns:r="http://schemas.openxmlformats.org/officeDocument/2006/relationships" name="Sources &amp; Control" sheetId="8" r:id="R9fca60628dbd4ff6"/>
    <x:sheet xmlns:r="http://schemas.openxmlformats.org/officeDocument/2006/relationships" name="Lists" sheetId="9" r:id="R66802f7d947a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sz val="11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3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1" xfId="0" applyNumberFormat="1" applyFont="1" applyFill="1" applyBorder="1"/>
    <x:xf numFmtId="0" fontId="8" fillId="8" borderId="9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7" fillId="7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10" xfId="0" applyNumberFormat="1" applyFont="1" applyFill="1" applyBorder="1"/>
    <x:xf numFmtId="0" fontId="9" fillId="5" borderId="2" xfId="0" applyNumberFormat="1" applyFont="1" applyFill="1" applyBorder="1"/>
    <x:xf numFmtId="0" fontId="9" fillId="5" borderId="11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2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10" fillId="8" borderId="12" xfId="0" applyNumberFormat="1" applyFont="1" applyFill="1" applyBorder="1" applyAlignment="1">
      <x:alignment vertical="top" wrapText="1"/>
    </x:xf>
    <x:xf numFmtId="0" fontId="10" fillId="8" borderId="13" xfId="0" applyNumberFormat="1" applyFont="1" applyFill="1" applyBorder="1" applyAlignment="1">
      <x:alignment vertical="top" wrapText="1"/>
    </x:xf>
    <x:xf numFmtId="0" fontId="10" fillId="8" borderId="14" xfId="0" applyNumberFormat="1" applyFont="1" applyFill="1" applyBorder="1" applyAlignment="1">
      <x:alignment vertical="top" wrapText="1"/>
    </x:xf>
    <x:xf numFmtId="0" fontId="10" fillId="4" borderId="12" xfId="0" applyNumberFormat="1" applyFont="1" applyFill="1" applyBorder="1" applyAlignment="1">
      <x:alignment vertical="top" wrapText="1"/>
    </x:xf>
    <x:xf numFmtId="0" fontId="10" fillId="4" borderId="13" xfId="0" applyNumberFormat="1" applyFont="1" applyFill="1" applyBorder="1" applyAlignment="1">
      <x:alignment vertical="top" wrapText="1"/>
    </x:xf>
    <x:xf numFmtId="0" fontId="10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10" fillId="8" borderId="12" xfId="0" applyNumberFormat="1" applyFont="1" applyFill="1" applyBorder="1" applyAlignment="1">
      <x:alignment vertical="top" wrapText="1"/>
    </x:xf>
    <x:xf numFmtId="200" fontId="10" fillId="8" borderId="13" xfId="0" applyNumberFormat="1" applyFont="1" applyFill="1" applyBorder="1" applyAlignment="1">
      <x:alignment vertical="top" wrapText="1"/>
    </x:xf>
    <x:xf numFmtId="200" fontId="10" fillId="8" borderId="1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1" xfId="0" applyNumberFormat="1" applyFont="1" applyFill="1" applyBorder="1"/>
    <x:xf numFmtId="0" fontId="8" fillId="6" borderId="9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10" fillId="6" borderId="12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vertical="top" wrapText="1"/>
    </x:xf>
    <x:xf numFmtId="0" fontId="10" fillId="6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4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f220b5f8440e8" /><Relationship Type="http://schemas.openxmlformats.org/officeDocument/2006/relationships/theme" Target="/xl/theme/theme1.xml" Id="Rf72d9a55999a41d9" /><Relationship Type="http://schemas.openxmlformats.org/officeDocument/2006/relationships/sharedStrings" Target="/xl/sharedStrings.xml" Id="R5300027fe6d24fac" /><Relationship Type="http://schemas.openxmlformats.org/officeDocument/2006/relationships/worksheet" Target="/xl/worksheets/sheet1.xml" Id="R210a0181926c4bf9" /><Relationship Type="http://schemas.openxmlformats.org/officeDocument/2006/relationships/worksheet" Target="/xl/worksheets/sheet2.xml" Id="R72ea68d1884b4338" /><Relationship Type="http://schemas.openxmlformats.org/officeDocument/2006/relationships/worksheet" Target="/xl/worksheets/sheet3.xml" Id="R0458caf0e99c48ff" /><Relationship Type="http://schemas.openxmlformats.org/officeDocument/2006/relationships/worksheet" Target="/xl/worksheets/sheet4.xml" Id="Rae9cd6573f8b406e" /><Relationship Type="http://schemas.openxmlformats.org/officeDocument/2006/relationships/worksheet" Target="/xl/worksheets/sheet5.xml" Id="Re311263742524bf1" /><Relationship Type="http://schemas.openxmlformats.org/officeDocument/2006/relationships/worksheet" Target="/xl/worksheets/sheet6.xml" Id="R7bd399e1a0b747af" /><Relationship Type="http://schemas.openxmlformats.org/officeDocument/2006/relationships/worksheet" Target="/xl/worksheets/sheet7.xml" Id="R0a49360ecdf04588" /><Relationship Type="http://schemas.openxmlformats.org/officeDocument/2006/relationships/worksheet" Target="/xl/worksheets/sheet8.xml" Id="R9fca60628dbd4ff6" /><Relationship Type="http://schemas.openxmlformats.org/officeDocument/2006/relationships/worksheet" Target="/xl/worksheets/sheet9.xml" Id="R66802f7d947a4f26" /><Relationship Type="http://schemas.microsoft.com/office/2017/10/relationships/person" Target="/xl/persons/person.xml" Id="Ree72b2dd0ed342c2" /></Relationships>
</file>

<file path=xl/persons/person.xml><?xml version="1.0" encoding="utf-8"?>
<xltc:personList xmlns:xltc="http://schemas.microsoft.com/office/spreadsheetml/2018/threadedcomments">
  <xltc:person displayName="User" id="{9784D404-292A-488C-BC46-BFC6ACACA51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Downstream Purification &amp; Clearance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Educational evidence mapping | No generic purification train, ranges, lifetimes, clearance factors, validation, or regulatory conclusions</x:v>
      </x:c>
      <x:c r="B2" s="7"/>
      <x:c r="C2" s="7"/>
      <x:c r="D2" s="7"/>
      <x:c r="E2" s="7"/>
      <x:c r="F2" s="7"/>
    </x:row>
    <x:row r="4">
      <x:c r="A4" s="9" t="str">
        <x:v>Current decision status</x:v>
      </x:c>
      <x:c r="B4" s="17" t="str">
        <x:f>'Decision Brief'!B17</x:f>
        <x:v>Qualified review required</x:v>
      </x:c>
    </x:row>
    <x:row r="5">
      <x:c r="A5" s="10" t="str">
        <x:v>Mapped targets / attributes</x:v>
      </x:c>
      <x:c r="B5" s="15" t="n">
        <x:f>'Decision Brief'!B9</x:f>
        <x:v>7</x:v>
      </x:c>
    </x:row>
    <x:row r="6">
      <x:c r="A6" s="10" t="str">
        <x:v>Mapped unit operations</x:v>
      </x:c>
      <x:c r="B6" s="15" t="n">
        <x:f>'Decision Brief'!B10</x:f>
        <x:v>6</x:v>
      </x:c>
    </x:row>
    <x:row r="7">
      <x:c r="A7" s="10" t="str">
        <x:v>Clearance claims</x:v>
      </x:c>
      <x:c r="B7" s="15" t="n">
        <x:f>'Decision Brief'!B11</x:f>
        <x:v>7</x:v>
      </x:c>
    </x:row>
    <x:row r="8">
      <x:c r="A8" s="10" t="str">
        <x:v>Evidence records</x:v>
      </x:c>
      <x:c r="B8" s="15" t="n">
        <x:f>'Decision Brief'!B12</x:f>
        <x:v>9</x:v>
      </x:c>
    </x:row>
    <x:row r="9">
      <x:c r="A9" s="10" t="str">
        <x:v>Incomplete records</x:v>
      </x:c>
      <x:c r="B9" s="15" t="n">
        <x:f>'Decision Brief'!B13</x:f>
        <x:v>0</x:v>
      </x:c>
    </x:row>
    <x:row r="10">
      <x:c r="A10" s="10" t="str">
        <x:v>Evidence-required records</x:v>
      </x:c>
      <x:c r="B10" s="15" t="n">
        <x:f>'Decision Brief'!B14</x:f>
        <x:v>0</x:v>
      </x:c>
    </x:row>
    <x:row r="11">
      <x:c r="A11" s="11" t="str">
        <x:v>Open / review-required records</x:v>
      </x:c>
      <x:c r="B11" s="16" t="n">
        <x:f>'Decision Brief'!B15+'Decision Brief'!B16</x:f>
        <x:v>20</x:v>
      </x:c>
    </x:row>
    <x:row r="13">
      <x:c r="A13" s="19" t="str">
        <x:v>How to use this workbook</x:v>
      </x:c>
      <x:c r="B13" s="19"/>
      <x:c r="C13" s="19"/>
      <x:c r="D13" s="19"/>
      <x:c r="E13" s="19"/>
      <x:c r="F13" s="19"/>
    </x:row>
    <x:row r="14">
      <x:c r="A14" s="22" t="str">
        <x:v>1. Frame one product/process decision in Decision Brief.</x:v>
      </x:c>
      <x:c r="B14" s="22"/>
      <x:c r="C14" s="22"/>
      <x:c r="D14" s="22"/>
      <x:c r="E14" s="22"/>
      <x:c r="F14" s="22"/>
    </x:row>
    <x:row r="15">
      <x:c r="A15" s="22" t="str">
        <x:v>2. Define product, impurity, contaminant, viral-safety, and recovery targets.</x:v>
      </x:c>
      <x:c r="B15" s="22"/>
      <x:c r="C15" s="22"/>
      <x:c r="D15" s="22"/>
      <x:c r="E15" s="22"/>
      <x:c r="F15" s="22"/>
    </x:row>
    <x:row r="16">
      <x:c r="A16" s="22" t="str">
        <x:v>3. Map the actual unit-operation train, loads, intermediates, and handoffs.</x:v>
      </x:c>
      <x:c r="B16" s="22"/>
      <x:c r="C16" s="22"/>
      <x:c r="D16" s="22"/>
      <x:c r="E16" s="22"/>
      <x:c r="F16" s="22"/>
    </x:row>
    <x:row r="17">
      <x:c r="A17" s="22" t="str">
        <x:v>4. Write impurity, product-variant, viral, and recovery claims separately.</x:v>
      </x:c>
      <x:c r="B17" s="22"/>
      <x:c r="C17" s="22"/>
      <x:c r="D17" s="22"/>
      <x:c r="E17" s="22"/>
      <x:c r="F17" s="22"/>
    </x:row>
    <x:row r="18">
      <x:c r="A18" s="22" t="str">
        <x:v>5. Record mechanism, model/study scope, analytical basis, limitations, and controlled evidence.</x:v>
      </x:c>
      <x:c r="B18" s="22"/>
      <x:c r="C18" s="22"/>
      <x:c r="D18" s="22"/>
      <x:c r="E18" s="22"/>
      <x:c r="F18" s="22"/>
    </x:row>
    <x:row r="19">
      <x:c r="A19" s="22" t="str">
        <x:v>6. Do not calculate or transfer a viral-reduction claim in this workbook.</x:v>
      </x:c>
      <x:c r="B19" s="22"/>
      <x:c r="C19" s="22"/>
      <x:c r="D19" s="22"/>
      <x:c r="E19" s="22"/>
      <x:c r="F19" s="22"/>
    </x:row>
    <x:row r="20">
      <x:c r="A20" s="22" t="str">
        <x:v>7. Resolve every Incomplete, Evidence required, or Review required flag.</x:v>
      </x:c>
      <x:c r="B20" s="22"/>
      <x:c r="C20" s="22"/>
      <x:c r="D20" s="22"/>
      <x:c r="E20" s="22"/>
      <x:c r="F20" s="22"/>
    </x:row>
    <x:row r="21">
      <x:c r="A21" s="22" t="str">
        <x:v>8. Obtain qualified process, analytical, viral-safety, quality, validation, and regulatory review.</x:v>
      </x:c>
      <x:c r="B21" s="22"/>
      <x:c r="C21" s="22"/>
      <x:c r="D21" s="22"/>
      <x:c r="E21" s="22"/>
      <x:c r="F21" s="22"/>
    </x:row>
    <x:row r="22">
      <x:c r="A22" s="22" t="str">
        <x:v>9. Transfer approved content into the site's controlled system; this workbook is not that system.</x:v>
      </x:c>
      <x:c r="B22" s="22"/>
      <x:c r="C22" s="22"/>
      <x:c r="D22" s="22"/>
      <x:c r="E22" s="22"/>
      <x:c r="F22" s="22"/>
    </x:row>
    <x:row r="24">
      <x:c r="A24" s="25" t="str">
        <x:v>Critical boundary: the fictional example demonstrates use only. It is not a platform benchmark, and no operating range, lifetime, impurity limit, clearance factor, or viral-safety conclusion may be reused for another product.</x:v>
      </x:c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</x:sheetData>
  <x:mergeCells>
    <x:mergeCell ref="A1:F1"/>
    <x:mergeCell ref="A2:F2"/>
    <x:mergeCell ref="A13:F13"/>
    <x:mergeCell ref="A14:F14"/>
    <x:mergeCell ref="A15:F15"/>
    <x:mergeCell ref="A16:F16"/>
    <x:mergeCell ref="A17:F17"/>
    <x:mergeCell ref="A18:F18"/>
    <x:mergeCell ref="A19:F19"/>
    <x:mergeCell ref="A20:F20"/>
    <x:mergeCell ref="A21:F21"/>
    <x:mergeCell ref="A22:F22"/>
    <x:mergeCell ref="A24:F25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Freeze product, process, change, and decision scope before mapping downstream claims</x:v>
      </x:c>
      <x:c r="B2" s="7"/>
      <x:c r="C2" s="7"/>
      <x:c r="D2" s="7"/>
      <x:c r="E2" s="7"/>
      <x:c r="F2" s="7"/>
    </x:row>
    <x:row r="3">
      <x:c r="A3" s="26" t="str">
        <x:v>Decision statement</x:v>
      </x:c>
      <x:c r="B3" s="37" t="str">
        <x:v>Assess whether a proposed capture-resin supply and reuse change, amid higher incoming host-cell-protein load, requires additional downstream, product-quality, viral-safety, validation, or comparability evidence before implementation.</x:v>
      </x:c>
      <x:c r="C3" s="38"/>
      <x:c r="D3" s="38"/>
      <x:c r="E3" s="38"/>
      <x:c r="F3" s="39"/>
    </x:row>
    <x:row r="4">
      <x:c r="A4" s="26" t="str">
        <x:v>Product / molecule ID</x:v>
      </x:c>
      <x:c r="B4" s="40" t="str">
        <x:v>FIC-MAB-02 (fictional)</x:v>
      </x:c>
      <x:c r="C4" s="41"/>
      <x:c r="D4" s="41"/>
      <x:c r="E4" s="41"/>
      <x:c r="F4" s="42"/>
    </x:row>
    <x:row r="5">
      <x:c r="A5" s="26" t="str">
        <x:v>Modality and product scope</x:v>
      </x:c>
      <x:c r="B5" s="40" t="str">
        <x:v>CHO-derived monoclonal antibody drug substance; harvest clarification through bulk drug-substance handoff</x:v>
      </x:c>
      <x:c r="C5" s="41"/>
      <x:c r="D5" s="41"/>
      <x:c r="E5" s="41"/>
      <x:c r="F5" s="42"/>
    </x:row>
    <x:row r="6">
      <x:c r="A6" s="26" t="str">
        <x:v>Downstream process version, scale, site</x:v>
      </x:c>
      <x:c r="B6" s="40" t="str">
        <x:v>Process DSP-07; commercial-scale fictional site; capture-resin lifecycle change</x:v>
      </x:c>
      <x:c r="C6" s="41"/>
      <x:c r="D6" s="41"/>
      <x:c r="E6" s="41"/>
      <x:c r="F6" s="42"/>
    </x:row>
    <x:row r="7">
      <x:c r="A7" s="26" t="str">
        <x:v>Decision owner and review date</x:v>
      </x:c>
      <x:c r="B7" s="43" t="str">
        <x:v>Change owner with downstream/MSAT, analytical, viral-safety, quality, validation, and regulatory CMC review due 2026-09-18</x:v>
      </x:c>
      <x:c r="C7" s="44"/>
      <x:c r="D7" s="44"/>
      <x:c r="E7" s="44"/>
      <x:c r="F7" s="45"/>
    </x:row>
    <x:row r="9">
      <x:c r="A9" s="8" t="str">
        <x:v>Mapped targets / attributes</x:v>
      </x:c>
      <x:c r="B9" s="13" t="n">
        <x:f>COUNTA('Targets &amp; Attributes'!A6:A105)</x:f>
        <x:v>7</x:v>
      </x:c>
    </x:row>
    <x:row r="10">
      <x:c r="A10" s="8" t="str">
        <x:v>Mapped unit operations</x:v>
      </x:c>
      <x:c r="B10" s="13" t="n">
        <x:f>COUNTA('Unit Operations'!A6:A205)</x:f>
        <x:v>6</x:v>
      </x:c>
    </x:row>
    <x:row r="11">
      <x:c r="A11" s="8" t="str">
        <x:v>Clearance claims</x:v>
      </x:c>
      <x:c r="B11" s="13" t="n">
        <x:f>COUNTA('Clearance Claims'!A6:A205)</x:f>
        <x:v>7</x:v>
      </x:c>
    </x:row>
    <x:row r="12">
      <x:c r="A12" s="8" t="str">
        <x:v>Evidence records</x:v>
      </x:c>
      <x:c r="B12" s="13" t="n">
        <x:f>COUNTA('Evidence Register'!A6:A205)</x:f>
        <x:v>9</x:v>
      </x:c>
    </x:row>
    <x:row r="13">
      <x:c r="A13" s="8" t="str">
        <x:v>Incomplete records</x:v>
      </x:c>
      <x:c r="B13" s="13" t="n">
        <x:f>COUNTIF('Targets &amp; Attributes'!K6:K105,"Incomplete")+COUNTIF('Unit Operations'!R6:R205,"Incomplete")+COUNTIF('Clearance Claims'!R6:R205,"Incomplete")+COUNTIF('Evidence Register'!K6:K205,"Incomplete")</x:f>
        <x:v>0</x:v>
      </x:c>
    </x:row>
    <x:row r="14">
      <x:c r="A14" s="8" t="str">
        <x:v>Evidence-required records</x:v>
      </x:c>
      <x:c r="B14" s="13" t="n">
        <x:f>COUNTIF('Targets &amp; Attributes'!K6:K105,"Evidence required")+COUNTIF('Unit Operations'!R6:R205,"Evidence required")+COUNTIF('Clearance Claims'!R6:R205,"Evidence required")+COUNTIF('Evidence Register'!K6:K205,"Evidence required")</x:f>
        <x:v>0</x:v>
      </x:c>
    </x:row>
    <x:row r="15">
      <x:c r="A15" s="8" t="str">
        <x:v>Review-required records</x:v>
      </x:c>
      <x:c r="B15" s="13" t="n">
        <x:f>COUNTIF('Targets &amp; Attributes'!K6:K105,"Review required")+COUNTIF('Unit Operations'!R6:R205,"Review required")+COUNTIF('Clearance Claims'!R6:R205,"Review required")+COUNTIF('Evidence Register'!K6:K205,"Review required")</x:f>
        <x:v>15</x:v>
      </x:c>
    </x:row>
    <x:row r="16">
      <x:c r="A16" s="8" t="str">
        <x:v>Open / overdue actions</x:v>
      </x:c>
      <x:c r="B16" s="13" t="n">
        <x:f>COUNTIF('Review &amp; Actions'!J6:J105,"Open")+COUNTIF('Review &amp; Actions'!J6:J105,"Overdue")+COUNTIF('Review &amp; Actions'!J6:J105,"Incomplete")</x:f>
        <x:v>5</x:v>
      </x:c>
    </x:row>
    <x:row r="17">
      <x:c r="A17" s="8" t="str">
        <x:v>Decision status</x:v>
      </x:c>
      <x:c r="B17" s="46" t="str">
        <x:f>IF(COUNTA(B3:B7)&lt;5,"Evidence required",IF(B13+B14&gt;0,"Evidence required",IF(B15+B16&gt;0,"Qualified review required","Review-ready draft")))</x:f>
        <x:v>Qualified review required</x:v>
      </x:c>
    </x:row>
    <x:row r="19">
      <x:c r="A19" s="47" t="str">
        <x:v>Decision boundary: Review-ready draft means the record is structurally complete. It does not establish a purification process, clearance factor, viral safety, robustness, lifetime, validation, comparability, regulatory acceptance, or batch disposition.</x:v>
      </x:c>
      <x:c r="B19" s="47"/>
      <x:c r="C19" s="47"/>
      <x:c r="D19" s="47"/>
      <x:c r="E19" s="47"/>
      <x:c r="F19" s="47"/>
    </x:row>
    <x:row r="20">
      <x:c r="A20" s="47"/>
      <x:c r="B20" s="47"/>
      <x:c r="C20" s="47"/>
      <x:c r="D20" s="47"/>
      <x:c r="E20" s="47"/>
      <x:c r="F20" s="47"/>
    </x:row>
    <x:row r="21">
      <x:c r="A21" s="47"/>
      <x:c r="B21" s="47"/>
      <x:c r="C21" s="47"/>
      <x:c r="D21" s="47"/>
      <x:c r="E21" s="47"/>
      <x:c r="F21" s="47"/>
    </x:row>
    <x:row r="22">
      <x:c r="A22" s="47"/>
      <x:c r="B22" s="47"/>
      <x:c r="C22" s="47"/>
      <x:c r="D22" s="47"/>
      <x:c r="E22" s="47"/>
      <x:c r="F22" s="47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19:F22"/>
  </x:mergeCells>
  <x:conditionalFormatting sqref="B17:B17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38" hidden="0" customWidth="1"/>
    <x:col min="5" max="5" width="32" hidden="0" customWidth="1"/>
    <x:col min="6" max="6" width="30" hidden="0" customWidth="1"/>
    <x:col min="7" max="7" width="24" hidden="0" customWidth="1"/>
    <x:col min="8" max="8" width="28" hidden="0" customWidth="1"/>
    <x:col min="9" max="9" width="18" hidden="0" customWidth="1"/>
    <x:col min="10" max="10" width="16" hidden="0" customWidth="1"/>
    <x:col min="11" max="11" width="22" hidden="0" customWidth="1"/>
  </x:cols>
  <x:sheetData>
    <x:row r="1" ht="28" customHeight="1">
      <x:c r="A1" s="3" t="str">
        <x:v>Targets &amp; Attributes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Define what must be preserved, removed, controlled, measured, or recovered before mapping unit operations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Target ID</x:v>
      </x:c>
      <x:c r="B5" s="56" t="str">
        <x:v>Target / attribute</x:v>
      </x:c>
      <x:c r="C5" s="56" t="str">
        <x:v>Target class</x:v>
      </x:c>
      <x:c r="D5" s="56" t="str">
        <x:v>Product / patient / process relevance</x:v>
      </x:c>
      <x:c r="E5" s="56" t="str">
        <x:v>Source or formation pathway</x:v>
      </x:c>
      <x:c r="F5" s="56" t="str">
        <x:v>Measurement / method</x:v>
      </x:c>
      <x:c r="G5" s="56" t="str">
        <x:v>Control placement</x:v>
      </x:c>
      <x:c r="H5" s="56" t="str">
        <x:v>Limit / decision reference</x:v>
      </x:c>
      <x:c r="I5" s="56" t="str">
        <x:v>Evidence IDs</x:v>
      </x:c>
      <x:c r="J5" s="56" t="str">
        <x:v>Review status</x:v>
      </x:c>
      <x:c r="K5" s="57" t="str">
        <x:v>Attention</x:v>
      </x:c>
    </x:row>
    <x:row r="6">
      <x:c r="A6" s="68" t="str">
        <x:v>TGT-001</x:v>
      </x:c>
      <x:c r="B6" s="68" t="str">
        <x:v>Intended monomer and biological activity</x:v>
      </x:c>
      <x:c r="C6" s="68" t="str">
        <x:v>Intended product</x:v>
      </x:c>
      <x:c r="D6" s="68" t="str">
        <x:v>Preserve intended product structure and activity through purification and holds.</x:v>
      </x:c>
      <x:c r="E6" s="68" t="str">
        <x:v>May be lost or altered by separation, interfaces, holds, or concentration.</x:v>
      </x:c>
      <x:c r="F6" s="68" t="str">
        <x:v>Qualified identity, purity, and activity methods; controlled references only</x:v>
      </x:c>
      <x:c r="G6" s="68" t="str">
        <x:v>Combination</x:v>
      </x:c>
      <x:c r="H6" s="68" t="str">
        <x:v>Approved product control-strategy reference</x:v>
      </x:c>
      <x:c r="I6" s="68" t="str">
        <x:v>EVD-004; EVD-006</x:v>
      </x:c>
      <x:c r="J6" s="68" t="str">
        <x:v>Reviewed</x:v>
      </x:c>
      <x:c r="K6" s="74" t="str">
        <x:f>IF(A6="","",IF(OR(B6="",C6="",D6="",E6="",F6="",G6="",H6="",I6="",J6=""),"Incomplete",IF(H6="Evidence required","Evidence required",IF(J6&lt;&gt;"Reviewed","Review required","Ready for qualified review"))))</x:f>
        <x:v>Ready for qualified review</x:v>
      </x:c>
    </x:row>
    <x:row r="7">
      <x:c r="A7" s="69" t="str">
        <x:v>TGT-002</x:v>
      </x:c>
      <x:c r="B7" s="69" t="str">
        <x:v>Aggregate and particle profile</x:v>
      </x:c>
      <x:c r="C7" s="69" t="str">
        <x:v>Product-related variant</x:v>
      </x:c>
      <x:c r="D7" s="69" t="str">
        <x:v>Potential product-quality and safety relevance requires product-specific assessment.</x:v>
      </x:c>
      <x:c r="E7" s="69" t="str">
        <x:v>May form or be selected during capture, low-pH treatment, polishing, filtration, or hold.</x:v>
      </x:c>
      <x:c r="F7" s="69" t="str">
        <x:v>Orthogonal size and particle methods; controlled references only</x:v>
      </x:c>
      <x:c r="G7" s="69" t="str">
        <x:v>Combination</x:v>
      </x:c>
      <x:c r="H7" s="69" t="str">
        <x:v>Approved characterization and specification references</x:v>
      </x:c>
      <x:c r="I7" s="69" t="str">
        <x:v>EVD-004; EVD-006</x:v>
      </x:c>
      <x:c r="J7" s="69" t="str">
        <x:v>In review</x:v>
      </x:c>
      <x:c r="K7" s="75" t="str">
        <x:f>IF(A7="","",IF(OR(B7="",C7="",D7="",E7="",F7="",G7="",H7="",I7="",J7=""),"Incomplete",IF(H7="Evidence required","Evidence required",IF(J7&lt;&gt;"Reviewed","Review required","Ready for qualified review"))))</x:f>
        <x:v>Review required</x:v>
      </x:c>
    </x:row>
    <x:row r="8">
      <x:c r="A8" s="69" t="str">
        <x:v>TGT-003</x:v>
      </x:c>
      <x:c r="B8" s="69" t="str">
        <x:v>Host-cell protein</x:v>
      </x:c>
      <x:c r="C8" s="69" t="str">
        <x:v>Process-related impurity</x:v>
      </x:c>
      <x:c r="D8" s="69" t="str">
        <x:v>Cell-substrate-derived impurity requiring process and method coverage.</x:v>
      </x:c>
      <x:c r="E8" s="69" t="str">
        <x:v>Enters with harvest; profile and load can vary with upstream state and clarification.</x:v>
      </x:c>
      <x:c r="F8" s="69" t="str">
        <x:v>Qualified HCP method plus orthogonal/process knowledge where justified</x:v>
      </x:c>
      <x:c r="G8" s="69" t="str">
        <x:v>Combination</x:v>
      </x:c>
      <x:c r="H8" s="69" t="str">
        <x:v>Approved impurity strategy reference</x:v>
      </x:c>
      <x:c r="I8" s="69" t="str">
        <x:v>EVD-005; EVD-006; EVD-007</x:v>
      </x:c>
      <x:c r="J8" s="69" t="str">
        <x:v>In review</x:v>
      </x:c>
      <x:c r="K8" s="75" t="str">
        <x:f>IF(A8="","",IF(OR(B8="",C8="",D8="",E8="",F8="",G8="",H8="",I8="",J8=""),"Incomplete",IF(H8="Evidence required","Evidence required",IF(J8&lt;&gt;"Reviewed","Review required","Ready for qualified review"))))</x:f>
        <x:v>Review required</x:v>
      </x:c>
    </x:row>
    <x:row r="9">
      <x:c r="A9" s="69" t="str">
        <x:v>TGT-004</x:v>
      </x:c>
      <x:c r="B9" s="69" t="str">
        <x:v>Residual host-cell DNA</x:v>
      </x:c>
      <x:c r="C9" s="69" t="str">
        <x:v>Process-related impurity</x:v>
      </x:c>
      <x:c r="D9" s="69" t="str">
        <x:v>Cell-substrate-derived impurity controlled across the process.</x:v>
      </x:c>
      <x:c r="E9" s="69" t="str">
        <x:v>Enters with harvest and can change with cell state, lysis, clarification, and treatment.</x:v>
      </x:c>
      <x:c r="F9" s="69" t="str">
        <x:v>Qualified residual-DNA method; controlled reference only</x:v>
      </x:c>
      <x:c r="G9" s="69" t="str">
        <x:v>Combination</x:v>
      </x:c>
      <x:c r="H9" s="69" t="str">
        <x:v>Approved impurity strategy reference</x:v>
      </x:c>
      <x:c r="I9" s="69" t="str">
        <x:v>EVD-005; EVD-006</x:v>
      </x:c>
      <x:c r="J9" s="69" t="str">
        <x:v>Reviewed</x:v>
      </x:c>
      <x:c r="K9" s="75" t="str">
        <x:f>IF(A9="","",IF(OR(B9="",C9="",D9="",E9="",F9="",G9="",H9="",I9="",J9=""),"Incomplete",IF(H9="Evidence required","Evidence required",IF(J9&lt;&gt;"Reviewed","Review required","Ready for qualified review"))))</x:f>
        <x:v>Ready for qualified review</x:v>
      </x:c>
    </x:row>
    <x:row r="10">
      <x:c r="A10" s="69" t="str">
        <x:v>TGT-005</x:v>
      </x:c>
      <x:c r="B10" s="69" t="str">
        <x:v>Residual capture ligand</x:v>
      </x:c>
      <x:c r="C10" s="69" t="str">
        <x:v>Downstream-derived impurity</x:v>
      </x:c>
      <x:c r="D10" s="69" t="str">
        <x:v>Process-derived impurity potentially affected by resin identity, use, cleaning, and method coverage.</x:v>
      </x:c>
      <x:c r="E10" s="69" t="str">
        <x:v>May enter product intermediate from the capture material during its lifecycle.</x:v>
      </x:c>
      <x:c r="F10" s="69" t="str">
        <x:v>Qualified residual-ligand method with material-specific coverage review</x:v>
      </x:c>
      <x:c r="G10" s="69" t="str">
        <x:v>Combination</x:v>
      </x:c>
      <x:c r="H10" s="69" t="str">
        <x:v>Controlled proposed-material decision reference pending</x:v>
      </x:c>
      <x:c r="I10" s="69" t="str">
        <x:v>EVD-008</x:v>
      </x:c>
      <x:c r="J10" s="69" t="str">
        <x:v>In review</x:v>
      </x:c>
      <x:c r="K10" s="75" t="str">
        <x:f>IF(A10="","",IF(OR(B10="",C10="",D10="",E10="",F10="",G10="",H10="",I10="",J10=""),"Incomplete",IF(H10="Evidence required","Evidence required",IF(J10&lt;&gt;"Reviewed","Review required","Ready for qualified review"))))</x:f>
        <x:v>Review required</x:v>
      </x:c>
    </x:row>
    <x:row r="11">
      <x:c r="A11" s="69" t="str">
        <x:v>TGT-006</x:v>
      </x:c>
      <x:c r="B11" s="69" t="str">
        <x:v>Viral-safety process contribution</x:v>
      </x:c>
      <x:c r="C11" s="69" t="str">
        <x:v>Viral-safety target</x:v>
      </x:c>
      <x:c r="D11" s="69" t="str">
        <x:v>Defined downstream steps contribute to the integrated viral-safety strategy.</x:v>
      </x:c>
      <x:c r="E11" s="69" t="str">
        <x:v>Potential endogenous or adventitious viral challenge within the applicable source and product scope.</x:v>
      </x:c>
      <x:c r="F11" s="69" t="str">
        <x:v>Controlled viral-clearance study methods and approved strategy</x:v>
      </x:c>
      <x:c r="G11" s="69" t="str">
        <x:v>Viral-safety strategy</x:v>
      </x:c>
      <x:c r="H11" s="69" t="str">
        <x:v>Controlled viral-safety reports required</x:v>
      </x:c>
      <x:c r="I11" s="69" t="str">
        <x:v>EVD-003; EVD-009</x:v>
      </x:c>
      <x:c r="J11" s="69" t="str">
        <x:v>In review</x:v>
      </x:c>
      <x:c r="K11" s="75" t="str">
        <x:f>IF(A11="","",IF(OR(B11="",C11="",D11="",E11="",F11="",G11="",H11="",I11="",J11=""),"Incomplete",IF(H11="Evidence required","Evidence required",IF(J11&lt;&gt;"Reviewed","Review required","Ready for qualified review"))))</x:f>
        <x:v>Review required</x:v>
      </x:c>
    </x:row>
    <x:row r="12">
      <x:c r="A12" s="69" t="str">
        <x:v>TGT-007</x:v>
      </x:c>
      <x:c r="B12" s="69" t="str">
        <x:v>Product recovery and concentration</x:v>
      </x:c>
      <x:c r="C12" s="69" t="str">
        <x:v>Recovery / performance</x:v>
      </x:c>
      <x:c r="D12" s="69" t="str">
        <x:v>Sufficient, consistent recovery is needed without compromising quality or process control.</x:v>
      </x:c>
      <x:c r="E12" s="69" t="str">
        <x:v>Loss may occur through binding, interfaces, treatment, filtration, sampling, and holds.</x:v>
      </x:c>
      <x:c r="F12" s="69" t="str">
        <x:v>Mass balance and qualified product-concentration method</x:v>
      </x:c>
      <x:c r="G12" s="69" t="str">
        <x:v>Continued verification</x:v>
      </x:c>
      <x:c r="H12" s="69" t="str">
        <x:v>Approved process-performance reference</x:v>
      </x:c>
      <x:c r="I12" s="69" t="str">
        <x:v>EVD-005; EVD-007</x:v>
      </x:c>
      <x:c r="J12" s="69" t="str">
        <x:v>Reviewed</x:v>
      </x:c>
      <x:c r="K12" s="75" t="str">
        <x:f>IF(A12="","",IF(OR(B12="",C12="",D12="",E12="",F12="",G12="",H12="",I12="",J12=""),"Incomplete",IF(H12="Evidence required","Evidence required",IF(J12&lt;&gt;"Reviewed","Review required","Ready for qualified review"))))</x:f>
        <x:v>Ready for qualified review</x:v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75" t="str">
        <x:f>IF(A13="","",IF(OR(B13="",C13="",D13="",E13="",F13="",G13="",H13="",I13="",J13=""),"Incomplete",IF(H13="Evidence required","Evidence required",IF(J13&lt;&gt;"Reviewed","Review required","Ready for qualified review"))))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75" t="str">
        <x:f>IF(A14="","",IF(OR(B14="",C14="",D14="",E14="",F14="",G14="",H14="",I14="",J14=""),"Incomplete",IF(H14="Evidence required","Evidence required",IF(J14&lt;&gt;"Reviewed","Review required","Ready for qualified review"))))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75" t="str">
        <x:f>IF(A15="","",IF(OR(B15="",C15="",D15="",E15="",F15="",G15="",H15="",I15="",J15=""),"Incomplete",IF(H15="Evidence required","Evidence required",IF(J15&lt;&gt;"Reviewed","Review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75" t="str">
        <x:f>IF(A16="","",IF(OR(B16="",C16="",D16="",E16="",F16="",G16="",H16="",I16="",J16=""),"Incomplete",IF(H16="Evidence required","Evidence required",IF(J16&lt;&gt;"Reviewed","Review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75" t="str">
        <x:f>IF(A17="","",IF(OR(B17="",C17="",D17="",E17="",F17="",G17="",H17="",I17="",J17=""),"Incomplete",IF(H17="Evidence required","Evidence required",IF(J17&lt;&gt;"Reviewed","Review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75" t="str">
        <x:f>IF(A18="","",IF(OR(B18="",C18="",D18="",E18="",F18="",G18="",H18="",I18="",J18=""),"Incomplete",IF(H18="Evidence required","Evidence required",IF(J18&lt;&gt;"Reviewed","Review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75" t="str">
        <x:f>IF(A19="","",IF(OR(B19="",C19="",D19="",E19="",F19="",G19="",H19="",I19="",J19=""),"Incomplete",IF(H19="Evidence required","Evidence required",IF(J19&lt;&gt;"Reviewed","Review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75" t="str">
        <x:f>IF(A20="","",IF(OR(B20="",C20="",D20="",E20="",F20="",G20="",H20="",I20="",J20=""),"Incomplete",IF(H20="Evidence required","Evidence required",IF(J20&lt;&gt;"Reviewed","Review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75" t="str">
        <x:f>IF(A21="","",IF(OR(B21="",C21="",D21="",E21="",F21="",G21="",H21="",I21="",J21=""),"Incomplete",IF(H21="Evidence required","Evidence required",IF(J21&lt;&gt;"Reviewed","Review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75" t="str">
        <x:f>IF(A22="","",IF(OR(B22="",C22="",D22="",E22="",F22="",G22="",H22="",I22="",J22=""),"Incomplete",IF(H22="Evidence required","Evidence required",IF(J22&lt;&gt;"Reviewed","Review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75" t="str">
        <x:f>IF(A23="","",IF(OR(B23="",C23="",D23="",E23="",F23="",G23="",H23="",I23="",J23=""),"Incomplete",IF(H23="Evidence required","Evidence required",IF(J23&lt;&gt;"Reviewed","Review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75" t="str">
        <x:f>IF(A24="","",IF(OR(B24="",C24="",D24="",E24="",F24="",G24="",H24="",I24="",J24=""),"Incomplete",IF(H24="Evidence required","Evidence required",IF(J24&lt;&gt;"Reviewed","Review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75" t="str">
        <x:f>IF(A25="","",IF(OR(B25="",C25="",D25="",E25="",F25="",G25="",H25="",I25="",J25=""),"Incomplete",IF(H25="Evidence required","Evidence required",IF(J25&lt;&gt;"Reviewed","Review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75" t="str">
        <x:f>IF(A26="","",IF(OR(B26="",C26="",D26="",E26="",F26="",G26="",H26="",I26="",J26=""),"Incomplete",IF(H26="Evidence required","Evidence required",IF(J26&lt;&gt;"Reviewed","Review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75" t="str">
        <x:f>IF(A27="","",IF(OR(B27="",C27="",D27="",E27="",F27="",G27="",H27="",I27="",J27=""),"Incomplete",IF(H27="Evidence required","Evidence required",IF(J27&lt;&gt;"Reviewed","Review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75" t="str">
        <x:f>IF(A28="","",IF(OR(B28="",C28="",D28="",E28="",F28="",G28="",H28="",I28="",J28=""),"Incomplete",IF(H28="Evidence required","Evidence required",IF(J28&lt;&gt;"Reviewed","Review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75" t="str">
        <x:f>IF(A29="","",IF(OR(B29="",C29="",D29="",E29="",F29="",G29="",H29="",I29="",J29=""),"Incomplete",IF(H29="Evidence required","Evidence required",IF(J29&lt;&gt;"Reviewed","Review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75" t="str">
        <x:f>IF(A30="","",IF(OR(B30="",C30="",D30="",E30="",F30="",G30="",H30="",I30="",J30=""),"Incomplete",IF(H30="Evidence required","Evidence required",IF(J30&lt;&gt;"Reviewed","Review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75" t="str">
        <x:f>IF(A31="","",IF(OR(B31="",C31="",D31="",E31="",F31="",G31="",H31="",I31="",J31=""),"Incomplete",IF(H31="Evidence required","Evidence required",IF(J31&lt;&gt;"Reviewed","Review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75" t="str">
        <x:f>IF(A32="","",IF(OR(B32="",C32="",D32="",E32="",F32="",G32="",H32="",I32="",J32=""),"Incomplete",IF(H32="Evidence required","Evidence required",IF(J32&lt;&gt;"Reviewed","Review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75" t="str">
        <x:f>IF(A33="","",IF(OR(B33="",C33="",D33="",E33="",F33="",G33="",H33="",I33="",J33=""),"Incomplete",IF(H33="Evidence required","Evidence required",IF(J33&lt;&gt;"Reviewed","Review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75" t="str">
        <x:f>IF(A34="","",IF(OR(B34="",C34="",D34="",E34="",F34="",G34="",H34="",I34="",J34=""),"Incomplete",IF(H34="Evidence required","Evidence required",IF(J34&lt;&gt;"Reviewed","Review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75" t="str">
        <x:f>IF(A35="","",IF(OR(B35="",C35="",D35="",E35="",F35="",G35="",H35="",I35="",J35=""),"Incomplete",IF(H35="Evidence required","Evidence required",IF(J35&lt;&gt;"Reviewed","Review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75" t="str">
        <x:f>IF(A36="","",IF(OR(B36="",C36="",D36="",E36="",F36="",G36="",H36="",I36="",J36=""),"Incomplete",IF(H36="Evidence required","Evidence required",IF(J36&lt;&gt;"Reviewed","Review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75" t="str">
        <x:f>IF(A37="","",IF(OR(B37="",C37="",D37="",E37="",F37="",G37="",H37="",I37="",J37=""),"Incomplete",IF(H37="Evidence required","Evidence required",IF(J37&lt;&gt;"Reviewed","Review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75" t="str">
        <x:f>IF(A38="","",IF(OR(B38="",C38="",D38="",E38="",F38="",G38="",H38="",I38="",J38=""),"Incomplete",IF(H38="Evidence required","Evidence required",IF(J38&lt;&gt;"Reviewed","Review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75" t="str">
        <x:f>IF(A39="","",IF(OR(B39="",C39="",D39="",E39="",F39="",G39="",H39="",I39="",J39=""),"Incomplete",IF(H39="Evidence required","Evidence required",IF(J39&lt;&gt;"Reviewed","Review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75" t="str">
        <x:f>IF(A40="","",IF(OR(B40="",C40="",D40="",E40="",F40="",G40="",H40="",I40="",J40=""),"Incomplete",IF(H40="Evidence required","Evidence required",IF(J40&lt;&gt;"Reviewed","Review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75" t="str">
        <x:f>IF(A41="","",IF(OR(B41="",C41="",D41="",E41="",F41="",G41="",H41="",I41="",J41=""),"Incomplete",IF(H41="Evidence required","Evidence required",IF(J41&lt;&gt;"Reviewed","Review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75" t="str">
        <x:f>IF(A42="","",IF(OR(B42="",C42="",D42="",E42="",F42="",G42="",H42="",I42="",J42=""),"Incomplete",IF(H42="Evidence required","Evidence required",IF(J42&lt;&gt;"Reviewed","Review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75" t="str">
        <x:f>IF(A43="","",IF(OR(B43="",C43="",D43="",E43="",F43="",G43="",H43="",I43="",J43=""),"Incomplete",IF(H43="Evidence required","Evidence required",IF(J43&lt;&gt;"Reviewed","Review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75" t="str">
        <x:f>IF(A44="","",IF(OR(B44="",C44="",D44="",E44="",F44="",G44="",H44="",I44="",J44=""),"Incomplete",IF(H44="Evidence required","Evidence required",IF(J44&lt;&gt;"Reviewed","Review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75" t="str">
        <x:f>IF(A45="","",IF(OR(B45="",C45="",D45="",E45="",F45="",G45="",H45="",I45="",J45=""),"Incomplete",IF(H45="Evidence required","Evidence required",IF(J45&lt;&gt;"Reviewed","Review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75" t="str">
        <x:f>IF(A46="","",IF(OR(B46="",C46="",D46="",E46="",F46="",G46="",H46="",I46="",J46=""),"Incomplete",IF(H46="Evidence required","Evidence required",IF(J46&lt;&gt;"Reviewed","Review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75" t="str">
        <x:f>IF(A47="","",IF(OR(B47="",C47="",D47="",E47="",F47="",G47="",H47="",I47="",J47=""),"Incomplete",IF(H47="Evidence required","Evidence required",IF(J47&lt;&gt;"Reviewed","Review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75" t="str">
        <x:f>IF(A48="","",IF(OR(B48="",C48="",D48="",E48="",F48="",G48="",H48="",I48="",J48=""),"Incomplete",IF(H48="Evidence required","Evidence required",IF(J48&lt;&gt;"Reviewed","Review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75" t="str">
        <x:f>IF(A49="","",IF(OR(B49="",C49="",D49="",E49="",F49="",G49="",H49="",I49="",J49=""),"Incomplete",IF(H49="Evidence required","Evidence required",IF(J49&lt;&gt;"Reviewed","Review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75" t="str">
        <x:f>IF(A50="","",IF(OR(B50="",C50="",D50="",E50="",F50="",G50="",H50="",I50="",J50=""),"Incomplete",IF(H50="Evidence required","Evidence required",IF(J50&lt;&gt;"Reviewed","Review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75" t="str">
        <x:f>IF(A51="","",IF(OR(B51="",C51="",D51="",E51="",F51="",G51="",H51="",I51="",J51=""),"Incomplete",IF(H51="Evidence required","Evidence required",IF(J51&lt;&gt;"Reviewed","Review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75" t="str">
        <x:f>IF(A52="","",IF(OR(B52="",C52="",D52="",E52="",F52="",G52="",H52="",I52="",J52=""),"Incomplete",IF(H52="Evidence required","Evidence required",IF(J52&lt;&gt;"Reviewed","Review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75" t="str">
        <x:f>IF(A53="","",IF(OR(B53="",C53="",D53="",E53="",F53="",G53="",H53="",I53="",J53=""),"Incomplete",IF(H53="Evidence required","Evidence required",IF(J53&lt;&gt;"Reviewed","Review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75" t="str">
        <x:f>IF(A54="","",IF(OR(B54="",C54="",D54="",E54="",F54="",G54="",H54="",I54="",J54=""),"Incomplete",IF(H54="Evidence required","Evidence required",IF(J54&lt;&gt;"Reviewed","Review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75" t="str">
        <x:f>IF(A55="","",IF(OR(B55="",C55="",D55="",E55="",F55="",G55="",H55="",I55="",J55=""),"Incomplete",IF(H55="Evidence required","Evidence required",IF(J55&lt;&gt;"Reviewed","Review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75" t="str">
        <x:f>IF(A56="","",IF(OR(B56="",C56="",D56="",E56="",F56="",G56="",H56="",I56="",J56=""),"Incomplete",IF(H56="Evidence required","Evidence required",IF(J56&lt;&gt;"Reviewed","Review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75" t="str">
        <x:f>IF(A57="","",IF(OR(B57="",C57="",D57="",E57="",F57="",G57="",H57="",I57="",J57=""),"Incomplete",IF(H57="Evidence required","Evidence required",IF(J57&lt;&gt;"Reviewed","Review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75" t="str">
        <x:f>IF(A58="","",IF(OR(B58="",C58="",D58="",E58="",F58="",G58="",H58="",I58="",J58=""),"Incomplete",IF(H58="Evidence required","Evidence required",IF(J58&lt;&gt;"Reviewed","Review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75" t="str">
        <x:f>IF(A59="","",IF(OR(B59="",C59="",D59="",E59="",F59="",G59="",H59="",I59="",J59=""),"Incomplete",IF(H59="Evidence required","Evidence required",IF(J59&lt;&gt;"Reviewed","Review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75" t="str">
        <x:f>IF(A60="","",IF(OR(B60="",C60="",D60="",E60="",F60="",G60="",H60="",I60="",J60=""),"Incomplete",IF(H60="Evidence required","Evidence required",IF(J60&lt;&gt;"Reviewed","Review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75" t="str">
        <x:f>IF(A61="","",IF(OR(B61="",C61="",D61="",E61="",F61="",G61="",H61="",I61="",J61=""),"Incomplete",IF(H61="Evidence required","Evidence required",IF(J61&lt;&gt;"Reviewed","Review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75" t="str">
        <x:f>IF(A62="","",IF(OR(B62="",C62="",D62="",E62="",F62="",G62="",H62="",I62="",J62=""),"Incomplete",IF(H62="Evidence required","Evidence required",IF(J62&lt;&gt;"Reviewed","Review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75" t="str">
        <x:f>IF(A63="","",IF(OR(B63="",C63="",D63="",E63="",F63="",G63="",H63="",I63="",J63=""),"Incomplete",IF(H63="Evidence required","Evidence required",IF(J63&lt;&gt;"Reviewed","Review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75" t="str">
        <x:f>IF(A64="","",IF(OR(B64="",C64="",D64="",E64="",F64="",G64="",H64="",I64="",J64=""),"Incomplete",IF(H64="Evidence required","Evidence required",IF(J64&lt;&gt;"Reviewed","Review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75" t="str">
        <x:f>IF(A65="","",IF(OR(B65="",C65="",D65="",E65="",F65="",G65="",H65="",I65="",J65=""),"Incomplete",IF(H65="Evidence required","Evidence required",IF(J65&lt;&gt;"Reviewed","Review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75" t="str">
        <x:f>IF(A66="","",IF(OR(B66="",C66="",D66="",E66="",F66="",G66="",H66="",I66="",J66=""),"Incomplete",IF(H66="Evidence required","Evidence required",IF(J66&lt;&gt;"Reviewed","Review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75" t="str">
        <x:f>IF(A67="","",IF(OR(B67="",C67="",D67="",E67="",F67="",G67="",H67="",I67="",J67=""),"Incomplete",IF(H67="Evidence required","Evidence required",IF(J67&lt;&gt;"Reviewed","Review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75" t="str">
        <x:f>IF(A68="","",IF(OR(B68="",C68="",D68="",E68="",F68="",G68="",H68="",I68="",J68=""),"Incomplete",IF(H68="Evidence required","Evidence required",IF(J68&lt;&gt;"Reviewed","Review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75" t="str">
        <x:f>IF(A69="","",IF(OR(B69="",C69="",D69="",E69="",F69="",G69="",H69="",I69="",J69=""),"Incomplete",IF(H69="Evidence required","Evidence required",IF(J69&lt;&gt;"Reviewed","Review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75" t="str">
        <x:f>IF(A70="","",IF(OR(B70="",C70="",D70="",E70="",F70="",G70="",H70="",I70="",J70=""),"Incomplete",IF(H70="Evidence required","Evidence required",IF(J70&lt;&gt;"Reviewed","Review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75" t="str">
        <x:f>IF(A71="","",IF(OR(B71="",C71="",D71="",E71="",F71="",G71="",H71="",I71="",J71=""),"Incomplete",IF(H71="Evidence required","Evidence required",IF(J71&lt;&gt;"Reviewed","Review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75" t="str">
        <x:f>IF(A72="","",IF(OR(B72="",C72="",D72="",E72="",F72="",G72="",H72="",I72="",J72=""),"Incomplete",IF(H72="Evidence required","Evidence required",IF(J72&lt;&gt;"Reviewed","Review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75" t="str">
        <x:f>IF(A73="","",IF(OR(B73="",C73="",D73="",E73="",F73="",G73="",H73="",I73="",J73=""),"Incomplete",IF(H73="Evidence required","Evidence required",IF(J73&lt;&gt;"Reviewed","Review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75" t="str">
        <x:f>IF(A74="","",IF(OR(B74="",C74="",D74="",E74="",F74="",G74="",H74="",I74="",J74=""),"Incomplete",IF(H74="Evidence required","Evidence required",IF(J74&lt;&gt;"Reviewed","Review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75" t="str">
        <x:f>IF(A75="","",IF(OR(B75="",C75="",D75="",E75="",F75="",G75="",H75="",I75="",J75=""),"Incomplete",IF(H75="Evidence required","Evidence required",IF(J75&lt;&gt;"Reviewed","Review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75" t="str">
        <x:f>IF(A76="","",IF(OR(B76="",C76="",D76="",E76="",F76="",G76="",H76="",I76="",J76=""),"Incomplete",IF(H76="Evidence required","Evidence required",IF(J76&lt;&gt;"Reviewed","Review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75" t="str">
        <x:f>IF(A77="","",IF(OR(B77="",C77="",D77="",E77="",F77="",G77="",H77="",I77="",J77=""),"Incomplete",IF(H77="Evidence required","Evidence required",IF(J77&lt;&gt;"Reviewed","Review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75" t="str">
        <x:f>IF(A78="","",IF(OR(B78="",C78="",D78="",E78="",F78="",G78="",H78="",I78="",J78=""),"Incomplete",IF(H78="Evidence required","Evidence required",IF(J78&lt;&gt;"Reviewed","Review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75" t="str">
        <x:f>IF(A79="","",IF(OR(B79="",C79="",D79="",E79="",F79="",G79="",H79="",I79="",J79=""),"Incomplete",IF(H79="Evidence required","Evidence required",IF(J79&lt;&gt;"Reviewed","Review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75" t="str">
        <x:f>IF(A80="","",IF(OR(B80="",C80="",D80="",E80="",F80="",G80="",H80="",I80="",J80=""),"Incomplete",IF(H80="Evidence required","Evidence required",IF(J80&lt;&gt;"Reviewed","Review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75" t="str">
        <x:f>IF(A81="","",IF(OR(B81="",C81="",D81="",E81="",F81="",G81="",H81="",I81="",J81=""),"Incomplete",IF(H81="Evidence required","Evidence required",IF(J81&lt;&gt;"Reviewed","Review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75" t="str">
        <x:f>IF(A82="","",IF(OR(B82="",C82="",D82="",E82="",F82="",G82="",H82="",I82="",J82=""),"Incomplete",IF(H82="Evidence required","Evidence required",IF(J82&lt;&gt;"Reviewed","Review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75" t="str">
        <x:f>IF(A83="","",IF(OR(B83="",C83="",D83="",E83="",F83="",G83="",H83="",I83="",J83=""),"Incomplete",IF(H83="Evidence required","Evidence required",IF(J83&lt;&gt;"Reviewed","Review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75" t="str">
        <x:f>IF(A84="","",IF(OR(B84="",C84="",D84="",E84="",F84="",G84="",H84="",I84="",J84=""),"Incomplete",IF(H84="Evidence required","Evidence required",IF(J84&lt;&gt;"Reviewed","Review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75" t="str">
        <x:f>IF(A85="","",IF(OR(B85="",C85="",D85="",E85="",F85="",G85="",H85="",I85="",J85=""),"Incomplete",IF(H85="Evidence required","Evidence required",IF(J85&lt;&gt;"Reviewed","Review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75" t="str">
        <x:f>IF(A86="","",IF(OR(B86="",C86="",D86="",E86="",F86="",G86="",H86="",I86="",J86=""),"Incomplete",IF(H86="Evidence required","Evidence required",IF(J86&lt;&gt;"Reviewed","Review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75" t="str">
        <x:f>IF(A87="","",IF(OR(B87="",C87="",D87="",E87="",F87="",G87="",H87="",I87="",J87=""),"Incomplete",IF(H87="Evidence required","Evidence required",IF(J87&lt;&gt;"Reviewed","Review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75" t="str">
        <x:f>IF(A88="","",IF(OR(B88="",C88="",D88="",E88="",F88="",G88="",H88="",I88="",J88=""),"Incomplete",IF(H88="Evidence required","Evidence required",IF(J88&lt;&gt;"Reviewed","Review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75" t="str">
        <x:f>IF(A89="","",IF(OR(B89="",C89="",D89="",E89="",F89="",G89="",H89="",I89="",J89=""),"Incomplete",IF(H89="Evidence required","Evidence required",IF(J89&lt;&gt;"Reviewed","Review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75" t="str">
        <x:f>IF(A90="","",IF(OR(B90="",C90="",D90="",E90="",F90="",G90="",H90="",I90="",J90=""),"Incomplete",IF(H90="Evidence required","Evidence required",IF(J90&lt;&gt;"Reviewed","Review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75" t="str">
        <x:f>IF(A91="","",IF(OR(B91="",C91="",D91="",E91="",F91="",G91="",H91="",I91="",J91=""),"Incomplete",IF(H91="Evidence required","Evidence required",IF(J91&lt;&gt;"Reviewed","Review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75" t="str">
        <x:f>IF(A92="","",IF(OR(B92="",C92="",D92="",E92="",F92="",G92="",H92="",I92="",J92=""),"Incomplete",IF(H92="Evidence required","Evidence required",IF(J92&lt;&gt;"Reviewed","Review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75" t="str">
        <x:f>IF(A93="","",IF(OR(B93="",C93="",D93="",E93="",F93="",G93="",H93="",I93="",J93=""),"Incomplete",IF(H93="Evidence required","Evidence required",IF(J93&lt;&gt;"Reviewed","Review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75" t="str">
        <x:f>IF(A94="","",IF(OR(B94="",C94="",D94="",E94="",F94="",G94="",H94="",I94="",J94=""),"Incomplete",IF(H94="Evidence required","Evidence required",IF(J94&lt;&gt;"Reviewed","Review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75" t="str">
        <x:f>IF(A95="","",IF(OR(B95="",C95="",D95="",E95="",F95="",G95="",H95="",I95="",J95=""),"Incomplete",IF(H95="Evidence required","Evidence required",IF(J95&lt;&gt;"Reviewed","Review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75" t="str">
        <x:f>IF(A96="","",IF(OR(B96="",C96="",D96="",E96="",F96="",G96="",H96="",I96="",J96=""),"Incomplete",IF(H96="Evidence required","Evidence required",IF(J96&lt;&gt;"Reviewed","Review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75" t="str">
        <x:f>IF(A97="","",IF(OR(B97="",C97="",D97="",E97="",F97="",G97="",H97="",I97="",J97=""),"Incomplete",IF(H97="Evidence required","Evidence required",IF(J97&lt;&gt;"Reviewed","Review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75" t="str">
        <x:f>IF(A98="","",IF(OR(B98="",C98="",D98="",E98="",F98="",G98="",H98="",I98="",J98=""),"Incomplete",IF(H98="Evidence required","Evidence required",IF(J98&lt;&gt;"Reviewed","Review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75" t="str">
        <x:f>IF(A99="","",IF(OR(B99="",C99="",D99="",E99="",F99="",G99="",H99="",I99="",J99=""),"Incomplete",IF(H99="Evidence required","Evidence required",IF(J99&lt;&gt;"Reviewed","Review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75" t="str">
        <x:f>IF(A100="","",IF(OR(B100="",C100="",D100="",E100="",F100="",G100="",H100="",I100="",J100=""),"Incomplete",IF(H100="Evidence required","Evidence required",IF(J100&lt;&gt;"Reviewed","Review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75" t="str">
        <x:f>IF(A101="","",IF(OR(B101="",C101="",D101="",E101="",F101="",G101="",H101="",I101="",J101=""),"Incomplete",IF(H101="Evidence required","Evidence required",IF(J101&lt;&gt;"Reviewed","Review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75" t="str">
        <x:f>IF(A102="","",IF(OR(B102="",C102="",D102="",E102="",F102="",G102="",H102="",I102="",J102=""),"Incomplete",IF(H102="Evidence required","Evidence required",IF(J102&lt;&gt;"Reviewed","Review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75" t="str">
        <x:f>IF(A103="","",IF(OR(B103="",C103="",D103="",E103="",F103="",G103="",H103="",I103="",J103=""),"Incomplete",IF(H103="Evidence required","Evidence required",IF(J103&lt;&gt;"Reviewed","Review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75" t="str">
        <x:f>IF(A104="","",IF(OR(B104="",C104="",D104="",E104="",F104="",G104="",H104="",I104="",J104=""),"Incomplete",IF(H104="Evidence required","Evidence required",IF(J104&lt;&gt;"Reviewed","Review required","Ready for qualified review"))))</x:f>
      </x:c>
    </x:row>
    <x:row r="105">
      <x:c r="A105" s="70"/>
      <x:c r="B105" s="70"/>
      <x:c r="C105" s="70"/>
      <x:c r="D105" s="70"/>
      <x:c r="E105" s="70"/>
      <x:c r="F105" s="70"/>
      <x:c r="G105" s="70"/>
      <x:c r="H105" s="70"/>
      <x:c r="I105" s="70"/>
      <x:c r="J105" s="70"/>
      <x:c r="K105" s="76" t="str">
        <x:f>IF(A105="","",IF(OR(B105="",C105="",D105="",E105="",F105="",G105="",H105="",I105="",J105=""),"Incomplete",IF(H105="Evidence required","Evidence required",IF(J105&lt;&gt;"Reviewed","Review required","Ready for qualified review"))))</x:f>
      </x:c>
    </x:row>
  </x:sheetData>
  <x:mergeCells>
    <x:mergeCell ref="A1:K1"/>
    <x:mergeCell ref="A2:K2"/>
  </x:mergeCells>
  <x:conditionalFormatting sqref="K6:K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3">
    <x:dataValidation type="list" sqref="C6:C105">
      <x:formula1>"Intended product,Product-related variant,Process-related impurity,Downstream-derived impurity,Contaminant,Viral-safety target,Recovery / performance,Other"</x:formula1>
    </x:dataValidation>
    <x:dataValidation type="list" sqref="G6:G105">
      <x:formula1>"Upstream prevention,Load control,Unit-operation control,In-process monitoring,Characterization,Release,Stability,Viral-safety strategy,Continued verification,Evidence required,Combination"</x:formula1>
    </x:dataValidation>
    <x:dataValidation type="list" sqref="J6:J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32" hidden="0" customWidth="1"/>
    <x:col min="5" max="5" width="30" hidden="0" customWidth="1"/>
    <x:col min="6" max="6" width="20" hidden="0" customWidth="1"/>
    <x:col min="7" max="7" width="32" hidden="0" customWidth="1"/>
    <x:col min="8" max="8" width="18" hidden="0" customWidth="1"/>
    <x:col min="9" max="9" width="23" hidden="0" customWidth="1"/>
    <x:col min="10" max="10" width="30" hidden="0" customWidth="1"/>
    <x:col min="11" max="11" width="34" hidden="0" customWidth="1"/>
    <x:col min="12" max="12" width="28" hidden="0" customWidth="1"/>
    <x:col min="13" max="13" width="34" hidden="0" customWidth="1"/>
    <x:col min="14" max="14" width="32" hidden="0" customWidth="1"/>
    <x:col min="15" max="15" width="28" hidden="0" customWidth="1"/>
    <x:col min="16" max="16" width="24" hidden="0" customWidth="1"/>
    <x:col min="17" max="17" width="18" hidden="0" customWidth="1"/>
    <x:col min="18" max="18" width="22" hidden="0" customWidth="1"/>
  </x:cols>
  <x:sheetData>
    <x:row r="1" ht="28" customHeight="1">
      <x:c r="A1" s="3" t="str">
        <x:v>Unit Operations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Map actual downstream steps, inputs, mechanisms, controls, lifecycle boundaries, and handoffs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55" t="str">
        <x:v>Step ID</x:v>
      </x:c>
      <x:c r="B5" s="56" t="str">
        <x:v>Stage / step</x:v>
      </x:c>
      <x:c r="C5" s="56" t="str">
        <x:v>Step type</x:v>
      </x:c>
      <x:c r="D5" s="56" t="str">
        <x:v>Purpose / mechanism</x:v>
      </x:c>
      <x:c r="E5" s="56" t="str">
        <x:v>Incoming material / state</x:v>
      </x:c>
      <x:c r="F5" s="56" t="str">
        <x:v>Target IDs</x:v>
      </x:c>
      <x:c r="G5" s="56" t="str">
        <x:v>Material / parameter links</x:v>
      </x:c>
      <x:c r="H5" s="56" t="str">
        <x:v>Evidence IDs</x:v>
      </x:c>
      <x:c r="I5" s="56" t="str">
        <x:v>Evidence strength</x:v>
      </x:c>
      <x:c r="J5" s="56" t="str">
        <x:v>Control / monitoring</x:v>
      </x:c>
      <x:c r="K5" s="56" t="str">
        <x:v>Recovery / product-quality trade-off</x:v>
      </x:c>
      <x:c r="L5" s="56" t="str">
        <x:v>Range / criterion reference</x:v>
      </x:c>
      <x:c r="M5" s="56" t="str">
        <x:v>Resin / membrane / hold lifecycle boundary</x:v>
      </x:c>
      <x:c r="N5" s="56" t="str">
        <x:v>Handoff / contamination control</x:v>
      </x:c>
      <x:c r="O5" s="56" t="str">
        <x:v>Lifecycle trigger</x:v>
      </x:c>
      <x:c r="P5" s="56" t="str">
        <x:v>Owner role</x:v>
      </x:c>
      <x:c r="Q5" s="56" t="str">
        <x:v>Review status</x:v>
      </x:c>
      <x:c r="R5" s="57" t="str">
        <x:v>Attention</x:v>
      </x:c>
    </x:row>
    <x:row r="6">
      <x:c r="A6" s="68" t="str">
        <x:v>STEP-001</x:v>
      </x:c>
      <x:c r="B6" s="68" t="str">
        <x:v>Harvest clarification</x:v>
      </x:c>
      <x:c r="C6" s="68" t="str">
        <x:v>Clarification / separation</x:v>
      </x:c>
      <x:c r="D6" s="68" t="str">
        <x:v>Remove cells and debris and provide a controlled capture load.</x:v>
      </x:c>
      <x:c r="E6" s="68" t="str">
        <x:v>Fictional CHO harvest with increased HCP load signal</x:v>
      </x:c>
      <x:c r="F6" s="68" t="str">
        <x:v>TGT-003; TGT-004; TGT-006; TGT-007</x:v>
      </x:c>
      <x:c r="G6" s="68" t="str">
        <x:v>Harvest state, clarification performance, hold, bioburden, and load timing</x:v>
      </x:c>
      <x:c r="H6" s="68" t="str">
        <x:v>EVD-005; EVD-007</x:v>
      </x:c>
      <x:c r="I6" s="68" t="str">
        <x:v>Observed association</x:v>
      </x:c>
      <x:c r="J6" s="68" t="str">
        <x:v>Clarification and hold controls plus load trend</x:v>
      </x:c>
      <x:c r="K6" s="68" t="str">
        <x:v>Recovery versus removal of particulate and soluble burden</x:v>
      </x:c>
      <x:c r="L6" s="68" t="str">
        <x:v>Approved process description reference</x:v>
      </x:c>
      <x:c r="M6" s="68" t="str">
        <x:v>Filter/material identity, loading, hold, and use boundary</x:v>
      </x:c>
      <x:c r="N6" s="68" t="str">
        <x:v>Closed transfer and controlled hold to capture</x:v>
      </x:c>
      <x:c r="O6" s="68" t="str">
        <x:v>Harvest, clarification, hold, scale, or load change</x:v>
      </x:c>
      <x:c r="P6" s="68" t="str">
        <x:v>Upstream/downstream MSAT</x:v>
      </x:c>
      <x:c r="Q6" s="68" t="str">
        <x:v>In review</x:v>
      </x:c>
      <x:c r="R6" s="74" t="str">
        <x:f>IF(A6="","",IF(OR(B6="",C6="",D6="",E6="",F6="",G6="",H6="",I6="",J6="",K6="",L6="",M6="",N6="",O6="",P6="",Q6=""),"Incomplete",IF(L6="Evidence required","Evidence required",IF(OR(I6="Hypothesis",I6="Observed association",I6="Contradictory or unresolved",Q6&lt;&gt;"Reviewed"),"Review required","Ready for qualified review"))))</x:f>
        <x:v>Review required</x:v>
      </x:c>
    </x:row>
    <x:row r="7">
      <x:c r="A7" s="69" t="str">
        <x:v>STEP-002</x:v>
      </x:c>
      <x:c r="B7" s="69" t="str">
        <x:v>Affinity capture</x:v>
      </x:c>
      <x:c r="C7" s="69" t="str">
        <x:v>Affinity capture</x:v>
      </x:c>
      <x:c r="D7" s="69" t="str">
        <x:v>Capture intended product while reducing process impurities.</x:v>
      </x:c>
      <x:c r="E7" s="69" t="str">
        <x:v>Clarified harvest under the defined load and hold state</x:v>
      </x:c>
      <x:c r="F7" s="69" t="str">
        <x:v>TGT-001; TGT-002; TGT-003; TGT-004; TGT-005; TGT-007</x:v>
      </x:c>
      <x:c r="G7" s="69" t="str">
        <x:v>Resin identity, load, residence, wash/elution, cycle, cleaning, storage, and reuse state</x:v>
      </x:c>
      <x:c r="H7" s="69" t="str">
        <x:v>EVD-005; EVD-006; EVD-008</x:v>
      </x:c>
      <x:c r="I7" s="69" t="str">
        <x:v>Contradictory or unresolved</x:v>
      </x:c>
      <x:c r="J7" s="69" t="str">
        <x:v>Controlled capture operation and lifecycle monitoring</x:v>
      </x:c>
      <x:c r="K7" s="69" t="str">
        <x:v>Impurity reduction and recovery may shift with resin and load state</x:v>
      </x:c>
      <x:c r="L7" s="69" t="str">
        <x:v>Controlled proposed-resin process-characterization reference pending</x:v>
      </x:c>
      <x:c r="M7" s="69" t="str">
        <x:v>Existing resin lifecycle only; proposed supply/reuse boundary not covered</x:v>
      </x:c>
      <x:c r="N7" s="69" t="str">
        <x:v>Controlled pool transfer and hold</x:v>
      </x:c>
      <x:c r="O7" s="69" t="str">
        <x:v>Resin, supplier, lot, reuse, cleaning, storage, load, scale, or equipment change</x:v>
      </x:c>
      <x:c r="P7" s="69" t="str">
        <x:v>Downstream process development / MSAT</x:v>
      </x:c>
      <x:c r="Q7" s="69" t="str">
        <x:v>In review</x:v>
      </x:c>
      <x:c r="R7" s="75" t="str">
        <x:f>IF(A7="","",IF(OR(B7="",C7="",D7="",E7="",F7="",G7="",H7="",I7="",J7="",K7="",L7="",M7="",N7="",O7="",P7="",Q7=""),"Incomplete",IF(L7="Evidence required","Evidence required",IF(OR(I7="Hypothesis",I7="Observed association",I7="Contradictory or unresolved",Q7&lt;&gt;"Reviewed"),"Review required","Ready for qualified review"))))</x:f>
        <x:v>Review required</x:v>
      </x:c>
    </x:row>
    <x:row r="8">
      <x:c r="A8" s="69" t="str">
        <x:v>STEP-003</x:v>
      </x:c>
      <x:c r="B8" s="69" t="str">
        <x:v>Low-pH treatment</x:v>
      </x:c>
      <x:c r="C8" s="69" t="str">
        <x:v>Inactivation</x:v>
      </x:c>
      <x:c r="D8" s="69" t="str">
        <x:v>Contribute to viral inactivation while preserving product quality.</x:v>
      </x:c>
      <x:c r="E8" s="69" t="str">
        <x:v>Defined capture pool</x:v>
      </x:c>
      <x:c r="F8" s="69" t="str">
        <x:v>TGT-001; TGT-002; TGT-006; TGT-007</x:v>
      </x:c>
      <x:c r="G8" s="69" t="str">
        <x:v>Intermediate composition, mixing, temperature, time, pH control, and transition</x:v>
      </x:c>
      <x:c r="H8" s="69" t="str">
        <x:v>EVD-003; EVD-006; EVD-009</x:v>
      </x:c>
      <x:c r="I8" s="69" t="str">
        <x:v>Designed-study support</x:v>
      </x:c>
      <x:c r="J8" s="69" t="str">
        <x:v>Controlled treatment and viral-safety strategy</x:v>
      </x:c>
      <x:c r="K8" s="69" t="str">
        <x:v>Product-quality impact versus viral inactivation contribution</x:v>
      </x:c>
      <x:c r="L8" s="69" t="str">
        <x:v>Approved process and viral-study references</x:v>
      </x:c>
      <x:c r="M8" s="69" t="str">
        <x:v>Defined treatment and hold scope in controlled records</x:v>
      </x:c>
      <x:c r="N8" s="69" t="str">
        <x:v>Controlled transition to polishing</x:v>
      </x:c>
      <x:c r="O8" s="69" t="str">
        <x:v>Pool composition, scale, equipment, mixing, time, temperature, or pH strategy change</x:v>
      </x:c>
      <x:c r="P8" s="69" t="str">
        <x:v>Downstream MSAT / Viral safety</x:v>
      </x:c>
      <x:c r="Q8" s="69" t="str">
        <x:v>Reviewed</x:v>
      </x:c>
      <x:c r="R8" s="75" t="str">
        <x:f>IF(A8="","",IF(OR(B8="",C8="",D8="",E8="",F8="",G8="",H8="",I8="",J8="",K8="",L8="",M8="",N8="",O8="",P8="",Q8=""),"Incomplete",IF(L8="Evidence required","Evidence required",IF(OR(I8="Hypothesis",I8="Observed association",I8="Contradictory or unresolved",Q8&lt;&gt;"Reviewed"),"Review required","Ready for qualified review"))))</x:f>
        <x:v>Ready for qualified review</x:v>
      </x:c>
    </x:row>
    <x:row r="9">
      <x:c r="A9" s="69" t="str">
        <x:v>STEP-004</x:v>
      </x:c>
      <x:c r="B9" s="69" t="str">
        <x:v>Polishing chromatography</x:v>
      </x:c>
      <x:c r="C9" s="69" t="str">
        <x:v>Chromatography</x:v>
      </x:c>
      <x:c r="D9" s="69" t="str">
        <x:v>Control selected impurities and product-related variants.</x:v>
      </x:c>
      <x:c r="E9" s="69" t="str">
        <x:v>Treated intermediate within defined load and conductivity state</x:v>
      </x:c>
      <x:c r="F9" s="69" t="str">
        <x:v>TGT-001; TGT-002; TGT-003; TGT-004; TGT-006; TGT-007</x:v>
      </x:c>
      <x:c r="G9" s="69" t="str">
        <x:v>Media identity, load, flow, buffer, conductivity, collection, lifecycle, and intermediate state</x:v>
      </x:c>
      <x:c r="H9" s="69" t="str">
        <x:v>EVD-005; EVD-006; EVD-009</x:v>
      </x:c>
      <x:c r="I9" s="69" t="str">
        <x:v>Designed-study support</x:v>
      </x:c>
      <x:c r="J9" s="69" t="str">
        <x:v>Controlled polishing operation and continued verification</x:v>
      </x:c>
      <x:c r="K9" s="69" t="str">
        <x:v>Variant/impurity control versus recovery</x:v>
      </x:c>
      <x:c r="L9" s="69" t="str">
        <x:v>Approved process-characterization references</x:v>
      </x:c>
      <x:c r="M9" s="69" t="str">
        <x:v>Current media, load, cleaning, storage, and reuse scope</x:v>
      </x:c>
      <x:c r="N9" s="69" t="str">
        <x:v>Controlled pool collection and hold</x:v>
      </x:c>
      <x:c r="O9" s="69" t="str">
        <x:v>Media, supplier, load, connected operation, scale, method, or trend change</x:v>
      </x:c>
      <x:c r="P9" s="69" t="str">
        <x:v>Downstream process development / MSAT</x:v>
      </x:c>
      <x:c r="Q9" s="69" t="str">
        <x:v>Reviewed</x:v>
      </x:c>
      <x:c r="R9" s="75" t="str">
        <x:f>IF(A9="","",IF(OR(B9="",C9="",D9="",E9="",F9="",G9="",H9="",I9="",J9="",K9="",L9="",M9="",N9="",O9="",P9="",Q9=""),"Incomplete",IF(L9="Evidence required","Evidence required",IF(OR(I9="Hypothesis",I9="Observed association",I9="Contradictory or unresolved",Q9&lt;&gt;"Reviewed"),"Review required","Ready for qualified review"))))</x:f>
        <x:v>Ready for qualified review</x:v>
      </x:c>
    </x:row>
    <x:row r="10">
      <x:c r="A10" s="69" t="str">
        <x:v>STEP-005</x:v>
      </x:c>
      <x:c r="B10" s="69" t="str">
        <x:v>Virus filtration</x:v>
      </x:c>
      <x:c r="C10" s="69" t="str">
        <x:v>Virus filtration</x:v>
      </x:c>
      <x:c r="D10" s="69" t="str">
        <x:v>Contribute to viral removal through a defined filtration step.</x:v>
      </x:c>
      <x:c r="E10" s="69" t="str">
        <x:v>Polished intermediate within the approved filter-load state</x:v>
      </x:c>
      <x:c r="F10" s="69" t="str">
        <x:v>TGT-001; TGT-002; TGT-006; TGT-007</x:v>
      </x:c>
      <x:c r="G10" s="69" t="str">
        <x:v>Filter identity, load, pressure/flow, intermediate properties, interruptions, integrity, and change handling</x:v>
      </x:c>
      <x:c r="H10" s="69" t="str">
        <x:v>EVD-003; EVD-009</x:v>
      </x:c>
      <x:c r="I10" s="69" t="str">
        <x:v>Designed-study support</x:v>
      </x:c>
      <x:c r="J10" s="69" t="str">
        <x:v>Controlled filtration and viral-safety strategy</x:v>
      </x:c>
      <x:c r="K10" s="69" t="str">
        <x:v>Viral removal and filter performance versus recovery/product impact</x:v>
      </x:c>
      <x:c r="L10" s="69" t="str">
        <x:v>Controlled process and viral-study references required</x:v>
      </x:c>
      <x:c r="M10" s="69" t="str">
        <x:v>Current filter, load, process, and study boundary</x:v>
      </x:c>
      <x:c r="N10" s="69" t="str">
        <x:v>Integrity-controlled transfer to concentration/buffer exchange</x:v>
      </x:c>
      <x:c r="O10" s="69" t="str">
        <x:v>Filter, supplier, load, intermediate, scale, interruption, integrity, or process change</x:v>
      </x:c>
      <x:c r="P10" s="69" t="str">
        <x:v>Viral safety / Downstream MSAT</x:v>
      </x:c>
      <x:c r="Q10" s="69" t="str">
        <x:v>In review</x:v>
      </x:c>
      <x:c r="R10" s="75" t="str">
        <x:f>IF(A10="","",IF(OR(B10="",C10="",D10="",E10="",F10="",G10="",H10="",I10="",J10="",K10="",L10="",M10="",N10="",O10="",P10="",Q10=""),"Incomplete",IF(L10="Evidence required","Evidence required",IF(OR(I10="Hypothesis",I10="Observed association",I10="Contradictory or unresolved",Q10&lt;&gt;"Reviewed"),"Review required","Ready for qualified review"))))</x:f>
        <x:v>Review required</x:v>
      </x:c>
    </x:row>
    <x:row r="11">
      <x:c r="A11" s="69" t="str">
        <x:v>STEP-006</x:v>
      </x:c>
      <x:c r="B11" s="69" t="str">
        <x:v>Concentration and buffer exchange</x:v>
      </x:c>
      <x:c r="C11" s="69" t="str">
        <x:v>Concentration / buffer exchange</x:v>
      </x:c>
      <x:c r="D11" s="69" t="str">
        <x:v>Set bulk concentration and composition while preserving product quality.</x:v>
      </x:c>
      <x:c r="E11" s="69" t="str">
        <x:v>Virus-filtered intermediate</x:v>
      </x:c>
      <x:c r="F11" s="69" t="str">
        <x:v>TGT-001; TGT-002; TGT-007</x:v>
      </x:c>
      <x:c r="G11" s="69" t="str">
        <x:v>Membrane identity, concentration, shear/interface, time, temperature, diafiltration, hold, and recovery</x:v>
      </x:c>
      <x:c r="H11" s="69" t="str">
        <x:v>EVD-005; EVD-006</x:v>
      </x:c>
      <x:c r="I11" s="69" t="str">
        <x:v>Designed-study support</x:v>
      </x:c>
      <x:c r="J11" s="69" t="str">
        <x:v>Controlled UF/DF operation and bulk hold</x:v>
      </x:c>
      <x:c r="K11" s="69" t="str">
        <x:v>Concentration and formulation target versus aggregation and recovery</x:v>
      </x:c>
      <x:c r="L11" s="69" t="str">
        <x:v>Approved process-characterization reference</x:v>
      </x:c>
      <x:c r="M11" s="69" t="str">
        <x:v>Current membrane, load, concentration, cleaning/use, and hold scope</x:v>
      </x:c>
      <x:c r="N11" s="69" t="str">
        <x:v>Controlled bulk-drug-substance handoff</x:v>
      </x:c>
      <x:c r="O11" s="69" t="str">
        <x:v>Membrane, supplier, concentration, equipment, scale, hold, or formulation change</x:v>
      </x:c>
      <x:c r="P11" s="69" t="str">
        <x:v>Downstream process development / Formulation</x:v>
      </x:c>
      <x:c r="Q11" s="69" t="str">
        <x:v>Reviewed</x:v>
      </x:c>
      <x:c r="R11" s="75" t="str">
        <x:f>IF(A11="","",IF(OR(B11="",C11="",D11="",E11="",F11="",G11="",H11="",I11="",J11="",K11="",L11="",M11="",N11="",O11="",P11="",Q11=""),"Incomplete",IF(L11="Evidence required","Evidence required",IF(OR(I11="Hypothesis",I11="Observed association",I11="Contradictory or unresolved",Q11&lt;&gt;"Reviewed"),"Review required","Ready for qualified review"))))</x:f>
        <x:v>Ready for qualified review</x:v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75" t="str">
        <x:f>IF(A12="","",IF(OR(B12="",C12="",D12="",E12="",F12="",G12="",H12="",I12="",J12="",K12="",L12="",M12="",N12="",O12="",P12="",Q12=""),"Incomplete",IF(L12="Evidence required","Evidence required",IF(OR(I12="Hypothesis",I12="Observed association",I12="Contradictory or unresolved",Q12&lt;&gt;"Reviewed"),"Review required","Ready for qualified review"))))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75" t="str">
        <x:f>IF(A13="","",IF(OR(B13="",C13="",D13="",E13="",F13="",G13="",H13="",I13="",J13="",K13="",L13="",M13="",N13="",O13="",P13="",Q13=""),"Incomplete",IF(L13="Evidence required","Evidence required",IF(OR(I13="Hypothesis",I13="Observed association",I13="Contradictory or unresolved",Q13&lt;&gt;"Reviewed"),"Review required","Ready for qualified review"))))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75" t="str">
        <x:f>IF(A14="","",IF(OR(B14="",C14="",D14="",E14="",F14="",G14="",H14="",I14="",J14="",K14="",L14="",M14="",N14="",O14="",P14="",Q14=""),"Incomplete",IF(L14="Evidence required","Evidence required",IF(OR(I14="Hypothesis",I14="Observed association",I14="Contradictory or unresolved",Q14&lt;&gt;"Reviewed"),"Review required","Ready for qualified review"))))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75" t="str">
        <x:f>IF(A15="","",IF(OR(B15="",C15="",D15="",E15="",F15="",G15="",H15="",I15="",J15="",K15="",L15="",M15="",N15="",O15="",P15="",Q15=""),"Incomplete",IF(L15="Evidence required","Evidence required",IF(OR(I15="Hypothesis",I15="Observed association",I15="Contradictory or unresolved",Q15&lt;&gt;"Reviewed"),"Review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75" t="str">
        <x:f>IF(A16="","",IF(OR(B16="",C16="",D16="",E16="",F16="",G16="",H16="",I16="",J16="",K16="",L16="",M16="",N16="",O16="",P16="",Q16=""),"Incomplete",IF(L16="Evidence required","Evidence required",IF(OR(I16="Hypothesis",I16="Observed association",I16="Contradictory or unresolved",Q16&lt;&gt;"Reviewed"),"Review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75" t="str">
        <x:f>IF(A17="","",IF(OR(B17="",C17="",D17="",E17="",F17="",G17="",H17="",I17="",J17="",K17="",L17="",M17="",N17="",O17="",P17="",Q17=""),"Incomplete",IF(L17="Evidence required","Evidence required",IF(OR(I17="Hypothesis",I17="Observed association",I17="Contradictory or unresolved",Q17&lt;&gt;"Reviewed"),"Review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75" t="str">
        <x:f>IF(A18="","",IF(OR(B18="",C18="",D18="",E18="",F18="",G18="",H18="",I18="",J18="",K18="",L18="",M18="",N18="",O18="",P18="",Q18=""),"Incomplete",IF(L18="Evidence required","Evidence required",IF(OR(I18="Hypothesis",I18="Observed association",I18="Contradictory or unresolved",Q18&lt;&gt;"Reviewed"),"Review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75" t="str">
        <x:f>IF(A19="","",IF(OR(B19="",C19="",D19="",E19="",F19="",G19="",H19="",I19="",J19="",K19="",L19="",M19="",N19="",O19="",P19="",Q19=""),"Incomplete",IF(L19="Evidence required","Evidence required",IF(OR(I19="Hypothesis",I19="Observed association",I19="Contradictory or unresolved",Q19&lt;&gt;"Reviewed"),"Review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75" t="str">
        <x:f>IF(A20="","",IF(OR(B20="",C20="",D20="",E20="",F20="",G20="",H20="",I20="",J20="",K20="",L20="",M20="",N20="",O20="",P20="",Q20=""),"Incomplete",IF(L20="Evidence required","Evidence required",IF(OR(I20="Hypothesis",I20="Observed association",I20="Contradictory or unresolved",Q20&lt;&gt;"Reviewed"),"Review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75" t="str">
        <x:f>IF(A21="","",IF(OR(B21="",C21="",D21="",E21="",F21="",G21="",H21="",I21="",J21="",K21="",L21="",M21="",N21="",O21="",P21="",Q21=""),"Incomplete",IF(L21="Evidence required","Evidence required",IF(OR(I21="Hypothesis",I21="Observed association",I21="Contradictory or unresolved",Q21&lt;&gt;"Reviewed"),"Review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75" t="str">
        <x:f>IF(A22="","",IF(OR(B22="",C22="",D22="",E22="",F22="",G22="",H22="",I22="",J22="",K22="",L22="",M22="",N22="",O22="",P22="",Q22=""),"Incomplete",IF(L22="Evidence required","Evidence required",IF(OR(I22="Hypothesis",I22="Observed association",I22="Contradictory or unresolved",Q22&lt;&gt;"Reviewed"),"Review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75" t="str">
        <x:f>IF(A23="","",IF(OR(B23="",C23="",D23="",E23="",F23="",G23="",H23="",I23="",J23="",K23="",L23="",M23="",N23="",O23="",P23="",Q23=""),"Incomplete",IF(L23="Evidence required","Evidence required",IF(OR(I23="Hypothesis",I23="Observed association",I23="Contradictory or unresolved",Q23&lt;&gt;"Reviewed"),"Review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75" t="str">
        <x:f>IF(A24="","",IF(OR(B24="",C24="",D24="",E24="",F24="",G24="",H24="",I24="",J24="",K24="",L24="",M24="",N24="",O24="",P24="",Q24=""),"Incomplete",IF(L24="Evidence required","Evidence required",IF(OR(I24="Hypothesis",I24="Observed association",I24="Contradictory or unresolved",Q24&lt;&gt;"Reviewed"),"Review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75" t="str">
        <x:f>IF(A25="","",IF(OR(B25="",C25="",D25="",E25="",F25="",G25="",H25="",I25="",J25="",K25="",L25="",M25="",N25="",O25="",P25="",Q25=""),"Incomplete",IF(L25="Evidence required","Evidence required",IF(OR(I25="Hypothesis",I25="Observed association",I25="Contradictory or unresolved",Q25&lt;&gt;"Reviewed"),"Review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75" t="str">
        <x:f>IF(A26="","",IF(OR(B26="",C26="",D26="",E26="",F26="",G26="",H26="",I26="",J26="",K26="",L26="",M26="",N26="",O26="",P26="",Q26=""),"Incomplete",IF(L26="Evidence required","Evidence required",IF(OR(I26="Hypothesis",I26="Observed association",I26="Contradictory or unresolved",Q26&lt;&gt;"Reviewed"),"Review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75" t="str">
        <x:f>IF(A27="","",IF(OR(B27="",C27="",D27="",E27="",F27="",G27="",H27="",I27="",J27="",K27="",L27="",M27="",N27="",O27="",P27="",Q27=""),"Incomplete",IF(L27="Evidence required","Evidence required",IF(OR(I27="Hypothesis",I27="Observed association",I27="Contradictory or unresolved",Q27&lt;&gt;"Reviewed"),"Review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75" t="str">
        <x:f>IF(A28="","",IF(OR(B28="",C28="",D28="",E28="",F28="",G28="",H28="",I28="",J28="",K28="",L28="",M28="",N28="",O28="",P28="",Q28=""),"Incomplete",IF(L28="Evidence required","Evidence required",IF(OR(I28="Hypothesis",I28="Observed association",I28="Contradictory or unresolved",Q28&lt;&gt;"Reviewed"),"Review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75" t="str">
        <x:f>IF(A29="","",IF(OR(B29="",C29="",D29="",E29="",F29="",G29="",H29="",I29="",J29="",K29="",L29="",M29="",N29="",O29="",P29="",Q29=""),"Incomplete",IF(L29="Evidence required","Evidence required",IF(OR(I29="Hypothesis",I29="Observed association",I29="Contradictory or unresolved",Q29&lt;&gt;"Reviewed"),"Review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75" t="str">
        <x:f>IF(A30="","",IF(OR(B30="",C30="",D30="",E30="",F30="",G30="",H30="",I30="",J30="",K30="",L30="",M30="",N30="",O30="",P30="",Q30=""),"Incomplete",IF(L30="Evidence required","Evidence required",IF(OR(I30="Hypothesis",I30="Observed association",I30="Contradictory or unresolved",Q30&lt;&gt;"Reviewed"),"Review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75" t="str">
        <x:f>IF(A31="","",IF(OR(B31="",C31="",D31="",E31="",F31="",G31="",H31="",I31="",J31="",K31="",L31="",M31="",N31="",O31="",P31="",Q31=""),"Incomplete",IF(L31="Evidence required","Evidence required",IF(OR(I31="Hypothesis",I31="Observed association",I31="Contradictory or unresolved",Q31&lt;&gt;"Reviewed"),"Review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75" t="str">
        <x:f>IF(A32="","",IF(OR(B32="",C32="",D32="",E32="",F32="",G32="",H32="",I32="",J32="",K32="",L32="",M32="",N32="",O32="",P32="",Q32=""),"Incomplete",IF(L32="Evidence required","Evidence required",IF(OR(I32="Hypothesis",I32="Observed association",I32="Contradictory or unresolved",Q32&lt;&gt;"Reviewed"),"Review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75" t="str">
        <x:f>IF(A33="","",IF(OR(B33="",C33="",D33="",E33="",F33="",G33="",H33="",I33="",J33="",K33="",L33="",M33="",N33="",O33="",P33="",Q33=""),"Incomplete",IF(L33="Evidence required","Evidence required",IF(OR(I33="Hypothesis",I33="Observed association",I33="Contradictory or unresolved",Q33&lt;&gt;"Reviewed"),"Review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75" t="str">
        <x:f>IF(A34="","",IF(OR(B34="",C34="",D34="",E34="",F34="",G34="",H34="",I34="",J34="",K34="",L34="",M34="",N34="",O34="",P34="",Q34=""),"Incomplete",IF(L34="Evidence required","Evidence required",IF(OR(I34="Hypothesis",I34="Observed association",I34="Contradictory or unresolved",Q34&lt;&gt;"Reviewed"),"Review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75" t="str">
        <x:f>IF(A35="","",IF(OR(B35="",C35="",D35="",E35="",F35="",G35="",H35="",I35="",J35="",K35="",L35="",M35="",N35="",O35="",P35="",Q35=""),"Incomplete",IF(L35="Evidence required","Evidence required",IF(OR(I35="Hypothesis",I35="Observed association",I35="Contradictory or unresolved",Q35&lt;&gt;"Reviewed"),"Review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75" t="str">
        <x:f>IF(A36="","",IF(OR(B36="",C36="",D36="",E36="",F36="",G36="",H36="",I36="",J36="",K36="",L36="",M36="",N36="",O36="",P36="",Q36=""),"Incomplete",IF(L36="Evidence required","Evidence required",IF(OR(I36="Hypothesis",I36="Observed association",I36="Contradictory or unresolved",Q36&lt;&gt;"Reviewed"),"Review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75" t="str">
        <x:f>IF(A37="","",IF(OR(B37="",C37="",D37="",E37="",F37="",G37="",H37="",I37="",J37="",K37="",L37="",M37="",N37="",O37="",P37="",Q37=""),"Incomplete",IF(L37="Evidence required","Evidence required",IF(OR(I37="Hypothesis",I37="Observed association",I37="Contradictory or unresolved",Q37&lt;&gt;"Reviewed"),"Review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75" t="str">
        <x:f>IF(A38="","",IF(OR(B38="",C38="",D38="",E38="",F38="",G38="",H38="",I38="",J38="",K38="",L38="",M38="",N38="",O38="",P38="",Q38=""),"Incomplete",IF(L38="Evidence required","Evidence required",IF(OR(I38="Hypothesis",I38="Observed association",I38="Contradictory or unresolved",Q38&lt;&gt;"Reviewed"),"Review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75" t="str">
        <x:f>IF(A39="","",IF(OR(B39="",C39="",D39="",E39="",F39="",G39="",H39="",I39="",J39="",K39="",L39="",M39="",N39="",O39="",P39="",Q39=""),"Incomplete",IF(L39="Evidence required","Evidence required",IF(OR(I39="Hypothesis",I39="Observed association",I39="Contradictory or unresolved",Q39&lt;&gt;"Reviewed"),"Review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75" t="str">
        <x:f>IF(A40="","",IF(OR(B40="",C40="",D40="",E40="",F40="",G40="",H40="",I40="",J40="",K40="",L40="",M40="",N40="",O40="",P40="",Q40=""),"Incomplete",IF(L40="Evidence required","Evidence required",IF(OR(I40="Hypothesis",I40="Observed association",I40="Contradictory or unresolved",Q40&lt;&gt;"Reviewed"),"Review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75" t="str">
        <x:f>IF(A41="","",IF(OR(B41="",C41="",D41="",E41="",F41="",G41="",H41="",I41="",J41="",K41="",L41="",M41="",N41="",O41="",P41="",Q41=""),"Incomplete",IF(L41="Evidence required","Evidence required",IF(OR(I41="Hypothesis",I41="Observed association",I41="Contradictory or unresolved",Q41&lt;&gt;"Reviewed"),"Review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75" t="str">
        <x:f>IF(A42="","",IF(OR(B42="",C42="",D42="",E42="",F42="",G42="",H42="",I42="",J42="",K42="",L42="",M42="",N42="",O42="",P42="",Q42=""),"Incomplete",IF(L42="Evidence required","Evidence required",IF(OR(I42="Hypothesis",I42="Observed association",I42="Contradictory or unresolved",Q42&lt;&gt;"Reviewed"),"Review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75" t="str">
        <x:f>IF(A43="","",IF(OR(B43="",C43="",D43="",E43="",F43="",G43="",H43="",I43="",J43="",K43="",L43="",M43="",N43="",O43="",P43="",Q43=""),"Incomplete",IF(L43="Evidence required","Evidence required",IF(OR(I43="Hypothesis",I43="Observed association",I43="Contradictory or unresolved",Q43&lt;&gt;"Reviewed"),"Review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75" t="str">
        <x:f>IF(A44="","",IF(OR(B44="",C44="",D44="",E44="",F44="",G44="",H44="",I44="",J44="",K44="",L44="",M44="",N44="",O44="",P44="",Q44=""),"Incomplete",IF(L44="Evidence required","Evidence required",IF(OR(I44="Hypothesis",I44="Observed association",I44="Contradictory or unresolved",Q44&lt;&gt;"Reviewed"),"Review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75" t="str">
        <x:f>IF(A45="","",IF(OR(B45="",C45="",D45="",E45="",F45="",G45="",H45="",I45="",J45="",K45="",L45="",M45="",N45="",O45="",P45="",Q45=""),"Incomplete",IF(L45="Evidence required","Evidence required",IF(OR(I45="Hypothesis",I45="Observed association",I45="Contradictory or unresolved",Q45&lt;&gt;"Reviewed"),"Review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75" t="str">
        <x:f>IF(A46="","",IF(OR(B46="",C46="",D46="",E46="",F46="",G46="",H46="",I46="",J46="",K46="",L46="",M46="",N46="",O46="",P46="",Q46=""),"Incomplete",IF(L46="Evidence required","Evidence required",IF(OR(I46="Hypothesis",I46="Observed association",I46="Contradictory or unresolved",Q46&lt;&gt;"Reviewed"),"Review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75" t="str">
        <x:f>IF(A47="","",IF(OR(B47="",C47="",D47="",E47="",F47="",G47="",H47="",I47="",J47="",K47="",L47="",M47="",N47="",O47="",P47="",Q47=""),"Incomplete",IF(L47="Evidence required","Evidence required",IF(OR(I47="Hypothesis",I47="Observed association",I47="Contradictory or unresolved",Q47&lt;&gt;"Reviewed"),"Review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75" t="str">
        <x:f>IF(A48="","",IF(OR(B48="",C48="",D48="",E48="",F48="",G48="",H48="",I48="",J48="",K48="",L48="",M48="",N48="",O48="",P48="",Q48=""),"Incomplete",IF(L48="Evidence required","Evidence required",IF(OR(I48="Hypothesis",I48="Observed association",I48="Contradictory or unresolved",Q48&lt;&gt;"Reviewed"),"Review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75" t="str">
        <x:f>IF(A49="","",IF(OR(B49="",C49="",D49="",E49="",F49="",G49="",H49="",I49="",J49="",K49="",L49="",M49="",N49="",O49="",P49="",Q49=""),"Incomplete",IF(L49="Evidence required","Evidence required",IF(OR(I49="Hypothesis",I49="Observed association",I49="Contradictory or unresolved",Q49&lt;&gt;"Reviewed"),"Review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75" t="str">
        <x:f>IF(A50="","",IF(OR(B50="",C50="",D50="",E50="",F50="",G50="",H50="",I50="",J50="",K50="",L50="",M50="",N50="",O50="",P50="",Q50=""),"Incomplete",IF(L50="Evidence required","Evidence required",IF(OR(I50="Hypothesis",I50="Observed association",I50="Contradictory or unresolved",Q50&lt;&gt;"Reviewed"),"Review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75" t="str">
        <x:f>IF(A51="","",IF(OR(B51="",C51="",D51="",E51="",F51="",G51="",H51="",I51="",J51="",K51="",L51="",M51="",N51="",O51="",P51="",Q51=""),"Incomplete",IF(L51="Evidence required","Evidence required",IF(OR(I51="Hypothesis",I51="Observed association",I51="Contradictory or unresolved",Q51&lt;&gt;"Reviewed"),"Review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75" t="str">
        <x:f>IF(A52="","",IF(OR(B52="",C52="",D52="",E52="",F52="",G52="",H52="",I52="",J52="",K52="",L52="",M52="",N52="",O52="",P52="",Q52=""),"Incomplete",IF(L52="Evidence required","Evidence required",IF(OR(I52="Hypothesis",I52="Observed association",I52="Contradictory or unresolved",Q52&lt;&gt;"Reviewed"),"Review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75" t="str">
        <x:f>IF(A53="","",IF(OR(B53="",C53="",D53="",E53="",F53="",G53="",H53="",I53="",J53="",K53="",L53="",M53="",N53="",O53="",P53="",Q53=""),"Incomplete",IF(L53="Evidence required","Evidence required",IF(OR(I53="Hypothesis",I53="Observed association",I53="Contradictory or unresolved",Q53&lt;&gt;"Reviewed"),"Review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75" t="str">
        <x:f>IF(A54="","",IF(OR(B54="",C54="",D54="",E54="",F54="",G54="",H54="",I54="",J54="",K54="",L54="",M54="",N54="",O54="",P54="",Q54=""),"Incomplete",IF(L54="Evidence required","Evidence required",IF(OR(I54="Hypothesis",I54="Observed association",I54="Contradictory or unresolved",Q54&lt;&gt;"Reviewed"),"Review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75" t="str">
        <x:f>IF(A55="","",IF(OR(B55="",C55="",D55="",E55="",F55="",G55="",H55="",I55="",J55="",K55="",L55="",M55="",N55="",O55="",P55="",Q55=""),"Incomplete",IF(L55="Evidence required","Evidence required",IF(OR(I55="Hypothesis",I55="Observed association",I55="Contradictory or unresolved",Q55&lt;&gt;"Reviewed"),"Review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75" t="str">
        <x:f>IF(A56="","",IF(OR(B56="",C56="",D56="",E56="",F56="",G56="",H56="",I56="",J56="",K56="",L56="",M56="",N56="",O56="",P56="",Q56=""),"Incomplete",IF(L56="Evidence required","Evidence required",IF(OR(I56="Hypothesis",I56="Observed association",I56="Contradictory or unresolved",Q56&lt;&gt;"Reviewed"),"Review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75" t="str">
        <x:f>IF(A57="","",IF(OR(B57="",C57="",D57="",E57="",F57="",G57="",H57="",I57="",J57="",K57="",L57="",M57="",N57="",O57="",P57="",Q57=""),"Incomplete",IF(L57="Evidence required","Evidence required",IF(OR(I57="Hypothesis",I57="Observed association",I57="Contradictory or unresolved",Q57&lt;&gt;"Reviewed"),"Review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75" t="str">
        <x:f>IF(A58="","",IF(OR(B58="",C58="",D58="",E58="",F58="",G58="",H58="",I58="",J58="",K58="",L58="",M58="",N58="",O58="",P58="",Q58=""),"Incomplete",IF(L58="Evidence required","Evidence required",IF(OR(I58="Hypothesis",I58="Observed association",I58="Contradictory or unresolved",Q58&lt;&gt;"Reviewed"),"Review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75" t="str">
        <x:f>IF(A59="","",IF(OR(B59="",C59="",D59="",E59="",F59="",G59="",H59="",I59="",J59="",K59="",L59="",M59="",N59="",O59="",P59="",Q59=""),"Incomplete",IF(L59="Evidence required","Evidence required",IF(OR(I59="Hypothesis",I59="Observed association",I59="Contradictory or unresolved",Q59&lt;&gt;"Reviewed"),"Review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75" t="str">
        <x:f>IF(A60="","",IF(OR(B60="",C60="",D60="",E60="",F60="",G60="",H60="",I60="",J60="",K60="",L60="",M60="",N60="",O60="",P60="",Q60=""),"Incomplete",IF(L60="Evidence required","Evidence required",IF(OR(I60="Hypothesis",I60="Observed association",I60="Contradictory or unresolved",Q60&lt;&gt;"Reviewed"),"Review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75" t="str">
        <x:f>IF(A61="","",IF(OR(B61="",C61="",D61="",E61="",F61="",G61="",H61="",I61="",J61="",K61="",L61="",M61="",N61="",O61="",P61="",Q61=""),"Incomplete",IF(L61="Evidence required","Evidence required",IF(OR(I61="Hypothesis",I61="Observed association",I61="Contradictory or unresolved",Q61&lt;&gt;"Reviewed"),"Review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75" t="str">
        <x:f>IF(A62="","",IF(OR(B62="",C62="",D62="",E62="",F62="",G62="",H62="",I62="",J62="",K62="",L62="",M62="",N62="",O62="",P62="",Q62=""),"Incomplete",IF(L62="Evidence required","Evidence required",IF(OR(I62="Hypothesis",I62="Observed association",I62="Contradictory or unresolved",Q62&lt;&gt;"Reviewed"),"Review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75" t="str">
        <x:f>IF(A63="","",IF(OR(B63="",C63="",D63="",E63="",F63="",G63="",H63="",I63="",J63="",K63="",L63="",M63="",N63="",O63="",P63="",Q63=""),"Incomplete",IF(L63="Evidence required","Evidence required",IF(OR(I63="Hypothesis",I63="Observed association",I63="Contradictory or unresolved",Q63&lt;&gt;"Reviewed"),"Review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75" t="str">
        <x:f>IF(A64="","",IF(OR(B64="",C64="",D64="",E64="",F64="",G64="",H64="",I64="",J64="",K64="",L64="",M64="",N64="",O64="",P64="",Q64=""),"Incomplete",IF(L64="Evidence required","Evidence required",IF(OR(I64="Hypothesis",I64="Observed association",I64="Contradictory or unresolved",Q64&lt;&gt;"Reviewed"),"Review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75" t="str">
        <x:f>IF(A65="","",IF(OR(B65="",C65="",D65="",E65="",F65="",G65="",H65="",I65="",J65="",K65="",L65="",M65="",N65="",O65="",P65="",Q65=""),"Incomplete",IF(L65="Evidence required","Evidence required",IF(OR(I65="Hypothesis",I65="Observed association",I65="Contradictory or unresolved",Q65&lt;&gt;"Reviewed"),"Review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75" t="str">
        <x:f>IF(A66="","",IF(OR(B66="",C66="",D66="",E66="",F66="",G66="",H66="",I66="",J66="",K66="",L66="",M66="",N66="",O66="",P66="",Q66=""),"Incomplete",IF(L66="Evidence required","Evidence required",IF(OR(I66="Hypothesis",I66="Observed association",I66="Contradictory or unresolved",Q66&lt;&gt;"Reviewed"),"Review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75" t="str">
        <x:f>IF(A67="","",IF(OR(B67="",C67="",D67="",E67="",F67="",G67="",H67="",I67="",J67="",K67="",L67="",M67="",N67="",O67="",P67="",Q67=""),"Incomplete",IF(L67="Evidence required","Evidence required",IF(OR(I67="Hypothesis",I67="Observed association",I67="Contradictory or unresolved",Q67&lt;&gt;"Reviewed"),"Review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75" t="str">
        <x:f>IF(A68="","",IF(OR(B68="",C68="",D68="",E68="",F68="",G68="",H68="",I68="",J68="",K68="",L68="",M68="",N68="",O68="",P68="",Q68=""),"Incomplete",IF(L68="Evidence required","Evidence required",IF(OR(I68="Hypothesis",I68="Observed association",I68="Contradictory or unresolved",Q68&lt;&gt;"Reviewed"),"Review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75" t="str">
        <x:f>IF(A69="","",IF(OR(B69="",C69="",D69="",E69="",F69="",G69="",H69="",I69="",J69="",K69="",L69="",M69="",N69="",O69="",P69="",Q69=""),"Incomplete",IF(L69="Evidence required","Evidence required",IF(OR(I69="Hypothesis",I69="Observed association",I69="Contradictory or unresolved",Q69&lt;&gt;"Reviewed"),"Review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75" t="str">
        <x:f>IF(A70="","",IF(OR(B70="",C70="",D70="",E70="",F70="",G70="",H70="",I70="",J70="",K70="",L70="",M70="",N70="",O70="",P70="",Q70=""),"Incomplete",IF(L70="Evidence required","Evidence required",IF(OR(I70="Hypothesis",I70="Observed association",I70="Contradictory or unresolved",Q70&lt;&gt;"Reviewed"),"Review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75" t="str">
        <x:f>IF(A71="","",IF(OR(B71="",C71="",D71="",E71="",F71="",G71="",H71="",I71="",J71="",K71="",L71="",M71="",N71="",O71="",P71="",Q71=""),"Incomplete",IF(L71="Evidence required","Evidence required",IF(OR(I71="Hypothesis",I71="Observed association",I71="Contradictory or unresolved",Q71&lt;&gt;"Reviewed"),"Review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75" t="str">
        <x:f>IF(A72="","",IF(OR(B72="",C72="",D72="",E72="",F72="",G72="",H72="",I72="",J72="",K72="",L72="",M72="",N72="",O72="",P72="",Q72=""),"Incomplete",IF(L72="Evidence required","Evidence required",IF(OR(I72="Hypothesis",I72="Observed association",I72="Contradictory or unresolved",Q72&lt;&gt;"Reviewed"),"Review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75" t="str">
        <x:f>IF(A73="","",IF(OR(B73="",C73="",D73="",E73="",F73="",G73="",H73="",I73="",J73="",K73="",L73="",M73="",N73="",O73="",P73="",Q73=""),"Incomplete",IF(L73="Evidence required","Evidence required",IF(OR(I73="Hypothesis",I73="Observed association",I73="Contradictory or unresolved",Q73&lt;&gt;"Reviewed"),"Review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75" t="str">
        <x:f>IF(A74="","",IF(OR(B74="",C74="",D74="",E74="",F74="",G74="",H74="",I74="",J74="",K74="",L74="",M74="",N74="",O74="",P74="",Q74=""),"Incomplete",IF(L74="Evidence required","Evidence required",IF(OR(I74="Hypothesis",I74="Observed association",I74="Contradictory or unresolved",Q74&lt;&gt;"Reviewed"),"Review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75" t="str">
        <x:f>IF(A75="","",IF(OR(B75="",C75="",D75="",E75="",F75="",G75="",H75="",I75="",J75="",K75="",L75="",M75="",N75="",O75="",P75="",Q75=""),"Incomplete",IF(L75="Evidence required","Evidence required",IF(OR(I75="Hypothesis",I75="Observed association",I75="Contradictory or unresolved",Q75&lt;&gt;"Reviewed"),"Review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75" t="str">
        <x:f>IF(A76="","",IF(OR(B76="",C76="",D76="",E76="",F76="",G76="",H76="",I76="",J76="",K76="",L76="",M76="",N76="",O76="",P76="",Q76=""),"Incomplete",IF(L76="Evidence required","Evidence required",IF(OR(I76="Hypothesis",I76="Observed association",I76="Contradictory or unresolved",Q76&lt;&gt;"Reviewed"),"Review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75" t="str">
        <x:f>IF(A77="","",IF(OR(B77="",C77="",D77="",E77="",F77="",G77="",H77="",I77="",J77="",K77="",L77="",M77="",N77="",O77="",P77="",Q77=""),"Incomplete",IF(L77="Evidence required","Evidence required",IF(OR(I77="Hypothesis",I77="Observed association",I77="Contradictory or unresolved",Q77&lt;&gt;"Reviewed"),"Review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75" t="str">
        <x:f>IF(A78="","",IF(OR(B78="",C78="",D78="",E78="",F78="",G78="",H78="",I78="",J78="",K78="",L78="",M78="",N78="",O78="",P78="",Q78=""),"Incomplete",IF(L78="Evidence required","Evidence required",IF(OR(I78="Hypothesis",I78="Observed association",I78="Contradictory or unresolved",Q78&lt;&gt;"Reviewed"),"Review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75" t="str">
        <x:f>IF(A79="","",IF(OR(B79="",C79="",D79="",E79="",F79="",G79="",H79="",I79="",J79="",K79="",L79="",M79="",N79="",O79="",P79="",Q79=""),"Incomplete",IF(L79="Evidence required","Evidence required",IF(OR(I79="Hypothesis",I79="Observed association",I79="Contradictory or unresolved",Q79&lt;&gt;"Reviewed"),"Review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75" t="str">
        <x:f>IF(A80="","",IF(OR(B80="",C80="",D80="",E80="",F80="",G80="",H80="",I80="",J80="",K80="",L80="",M80="",N80="",O80="",P80="",Q80=""),"Incomplete",IF(L80="Evidence required","Evidence required",IF(OR(I80="Hypothesis",I80="Observed association",I80="Contradictory or unresolved",Q80&lt;&gt;"Reviewed"),"Review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75" t="str">
        <x:f>IF(A81="","",IF(OR(B81="",C81="",D81="",E81="",F81="",G81="",H81="",I81="",J81="",K81="",L81="",M81="",N81="",O81="",P81="",Q81=""),"Incomplete",IF(L81="Evidence required","Evidence required",IF(OR(I81="Hypothesis",I81="Observed association",I81="Contradictory or unresolved",Q81&lt;&gt;"Reviewed"),"Review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75" t="str">
        <x:f>IF(A82="","",IF(OR(B82="",C82="",D82="",E82="",F82="",G82="",H82="",I82="",J82="",K82="",L82="",M82="",N82="",O82="",P82="",Q82=""),"Incomplete",IF(L82="Evidence required","Evidence required",IF(OR(I82="Hypothesis",I82="Observed association",I82="Contradictory or unresolved",Q82&lt;&gt;"Reviewed"),"Review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75" t="str">
        <x:f>IF(A83="","",IF(OR(B83="",C83="",D83="",E83="",F83="",G83="",H83="",I83="",J83="",K83="",L83="",M83="",N83="",O83="",P83="",Q83=""),"Incomplete",IF(L83="Evidence required","Evidence required",IF(OR(I83="Hypothesis",I83="Observed association",I83="Contradictory or unresolved",Q83&lt;&gt;"Reviewed"),"Review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75" t="str">
        <x:f>IF(A84="","",IF(OR(B84="",C84="",D84="",E84="",F84="",G84="",H84="",I84="",J84="",K84="",L84="",M84="",N84="",O84="",P84="",Q84=""),"Incomplete",IF(L84="Evidence required","Evidence required",IF(OR(I84="Hypothesis",I84="Observed association",I84="Contradictory or unresolved",Q84&lt;&gt;"Reviewed"),"Review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75" t="str">
        <x:f>IF(A85="","",IF(OR(B85="",C85="",D85="",E85="",F85="",G85="",H85="",I85="",J85="",K85="",L85="",M85="",N85="",O85="",P85="",Q85=""),"Incomplete",IF(L85="Evidence required","Evidence required",IF(OR(I85="Hypothesis",I85="Observed association",I85="Contradictory or unresolved",Q85&lt;&gt;"Reviewed"),"Review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75" t="str">
        <x:f>IF(A86="","",IF(OR(B86="",C86="",D86="",E86="",F86="",G86="",H86="",I86="",J86="",K86="",L86="",M86="",N86="",O86="",P86="",Q86=""),"Incomplete",IF(L86="Evidence required","Evidence required",IF(OR(I86="Hypothesis",I86="Observed association",I86="Contradictory or unresolved",Q86&lt;&gt;"Reviewed"),"Review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75" t="str">
        <x:f>IF(A87="","",IF(OR(B87="",C87="",D87="",E87="",F87="",G87="",H87="",I87="",J87="",K87="",L87="",M87="",N87="",O87="",P87="",Q87=""),"Incomplete",IF(L87="Evidence required","Evidence required",IF(OR(I87="Hypothesis",I87="Observed association",I87="Contradictory or unresolved",Q87&lt;&gt;"Reviewed"),"Review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75" t="str">
        <x:f>IF(A88="","",IF(OR(B88="",C88="",D88="",E88="",F88="",G88="",H88="",I88="",J88="",K88="",L88="",M88="",N88="",O88="",P88="",Q88=""),"Incomplete",IF(L88="Evidence required","Evidence required",IF(OR(I88="Hypothesis",I88="Observed association",I88="Contradictory or unresolved",Q88&lt;&gt;"Reviewed"),"Review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75" t="str">
        <x:f>IF(A89="","",IF(OR(B89="",C89="",D89="",E89="",F89="",G89="",H89="",I89="",J89="",K89="",L89="",M89="",N89="",O89="",P89="",Q89=""),"Incomplete",IF(L89="Evidence required","Evidence required",IF(OR(I89="Hypothesis",I89="Observed association",I89="Contradictory or unresolved",Q89&lt;&gt;"Reviewed"),"Review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75" t="str">
        <x:f>IF(A90="","",IF(OR(B90="",C90="",D90="",E90="",F90="",G90="",H90="",I90="",J90="",K90="",L90="",M90="",N90="",O90="",P90="",Q90=""),"Incomplete",IF(L90="Evidence required","Evidence required",IF(OR(I90="Hypothesis",I90="Observed association",I90="Contradictory or unresolved",Q90&lt;&gt;"Reviewed"),"Review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75" t="str">
        <x:f>IF(A91="","",IF(OR(B91="",C91="",D91="",E91="",F91="",G91="",H91="",I91="",J91="",K91="",L91="",M91="",N91="",O91="",P91="",Q91=""),"Incomplete",IF(L91="Evidence required","Evidence required",IF(OR(I91="Hypothesis",I91="Observed association",I91="Contradictory or unresolved",Q91&lt;&gt;"Reviewed"),"Review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75" t="str">
        <x:f>IF(A92="","",IF(OR(B92="",C92="",D92="",E92="",F92="",G92="",H92="",I92="",J92="",K92="",L92="",M92="",N92="",O92="",P92="",Q92=""),"Incomplete",IF(L92="Evidence required","Evidence required",IF(OR(I92="Hypothesis",I92="Observed association",I92="Contradictory or unresolved",Q92&lt;&gt;"Reviewed"),"Review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75" t="str">
        <x:f>IF(A93="","",IF(OR(B93="",C93="",D93="",E93="",F93="",G93="",H93="",I93="",J93="",K93="",L93="",M93="",N93="",O93="",P93="",Q93=""),"Incomplete",IF(L93="Evidence required","Evidence required",IF(OR(I93="Hypothesis",I93="Observed association",I93="Contradictory or unresolved",Q93&lt;&gt;"Reviewed"),"Review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75" t="str">
        <x:f>IF(A94="","",IF(OR(B94="",C94="",D94="",E94="",F94="",G94="",H94="",I94="",J94="",K94="",L94="",M94="",N94="",O94="",P94="",Q94=""),"Incomplete",IF(L94="Evidence required","Evidence required",IF(OR(I94="Hypothesis",I94="Observed association",I94="Contradictory or unresolved",Q94&lt;&gt;"Reviewed"),"Review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75" t="str">
        <x:f>IF(A95="","",IF(OR(B95="",C95="",D95="",E95="",F95="",G95="",H95="",I95="",J95="",K95="",L95="",M95="",N95="",O95="",P95="",Q95=""),"Incomplete",IF(L95="Evidence required","Evidence required",IF(OR(I95="Hypothesis",I95="Observed association",I95="Contradictory or unresolved",Q95&lt;&gt;"Reviewed"),"Review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75" t="str">
        <x:f>IF(A96="","",IF(OR(B96="",C96="",D96="",E96="",F96="",G96="",H96="",I96="",J96="",K96="",L96="",M96="",N96="",O96="",P96="",Q96=""),"Incomplete",IF(L96="Evidence required","Evidence required",IF(OR(I96="Hypothesis",I96="Observed association",I96="Contradictory or unresolved",Q96&lt;&gt;"Reviewed"),"Review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75" t="str">
        <x:f>IF(A97="","",IF(OR(B97="",C97="",D97="",E97="",F97="",G97="",H97="",I97="",J97="",K97="",L97="",M97="",N97="",O97="",P97="",Q97=""),"Incomplete",IF(L97="Evidence required","Evidence required",IF(OR(I97="Hypothesis",I97="Observed association",I97="Contradictory or unresolved",Q97&lt;&gt;"Reviewed"),"Review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75" t="str">
        <x:f>IF(A98="","",IF(OR(B98="",C98="",D98="",E98="",F98="",G98="",H98="",I98="",J98="",K98="",L98="",M98="",N98="",O98="",P98="",Q98=""),"Incomplete",IF(L98="Evidence required","Evidence required",IF(OR(I98="Hypothesis",I98="Observed association",I98="Contradictory or unresolved",Q98&lt;&gt;"Reviewed"),"Review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75" t="str">
        <x:f>IF(A99="","",IF(OR(B99="",C99="",D99="",E99="",F99="",G99="",H99="",I99="",J99="",K99="",L99="",M99="",N99="",O99="",P99="",Q99=""),"Incomplete",IF(L99="Evidence required","Evidence required",IF(OR(I99="Hypothesis",I99="Observed association",I99="Contradictory or unresolved",Q99&lt;&gt;"Reviewed"),"Review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75" t="str">
        <x:f>IF(A100="","",IF(OR(B100="",C100="",D100="",E100="",F100="",G100="",H100="",I100="",J100="",K100="",L100="",M100="",N100="",O100="",P100="",Q100=""),"Incomplete",IF(L100="Evidence required","Evidence required",IF(OR(I100="Hypothesis",I100="Observed association",I100="Contradictory or unresolved",Q100&lt;&gt;"Reviewed"),"Review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75" t="str">
        <x:f>IF(A101="","",IF(OR(B101="",C101="",D101="",E101="",F101="",G101="",H101="",I101="",J101="",K101="",L101="",M101="",N101="",O101="",P101="",Q101=""),"Incomplete",IF(L101="Evidence required","Evidence required",IF(OR(I101="Hypothesis",I101="Observed association",I101="Contradictory or unresolved",Q101&lt;&gt;"Reviewed"),"Review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75" t="str">
        <x:f>IF(A102="","",IF(OR(B102="",C102="",D102="",E102="",F102="",G102="",H102="",I102="",J102="",K102="",L102="",M102="",N102="",O102="",P102="",Q102=""),"Incomplete",IF(L102="Evidence required","Evidence required",IF(OR(I102="Hypothesis",I102="Observed association",I102="Contradictory or unresolved",Q102&lt;&gt;"Reviewed"),"Review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75" t="str">
        <x:f>IF(A103="","",IF(OR(B103="",C103="",D103="",E103="",F103="",G103="",H103="",I103="",J103="",K103="",L103="",M103="",N103="",O103="",P103="",Q103=""),"Incomplete",IF(L103="Evidence required","Evidence required",IF(OR(I103="Hypothesis",I103="Observed association",I103="Contradictory or unresolved",Q103&lt;&gt;"Reviewed"),"Review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75" t="str">
        <x:f>IF(A104="","",IF(OR(B104="",C104="",D104="",E104="",F104="",G104="",H104="",I104="",J104="",K104="",L104="",M104="",N104="",O104="",P104="",Q104=""),"Incomplete",IF(L104="Evidence required","Evidence required",IF(OR(I104="Hypothesis",I104="Observed association",I104="Contradictory or unresolved",Q104&lt;&gt;"Reviewed"),"Review required","Ready for qualified review"))))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75" t="str">
        <x:f>IF(A105="","",IF(OR(B105="",C105="",D105="",E105="",F105="",G105="",H105="",I105="",J105="",K105="",L105="",M105="",N105="",O105="",P105="",Q105=""),"Incomplete",IF(L105="Evidence required","Evidence required",IF(OR(I105="Hypothesis",I105="Observed association",I105="Contradictory or unresolved",Q105&lt;&gt;"Reviewed"),"Review required","Ready for qualified review"))))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75" t="str">
        <x:f>IF(A106="","",IF(OR(B106="",C106="",D106="",E106="",F106="",G106="",H106="",I106="",J106="",K106="",L106="",M106="",N106="",O106="",P106="",Q106=""),"Incomplete",IF(L106="Evidence required","Evidence required",IF(OR(I106="Hypothesis",I106="Observed association",I106="Contradictory or unresolved",Q106&lt;&gt;"Reviewed"),"Review required","Ready for qualified review"))))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75" t="str">
        <x:f>IF(A107="","",IF(OR(B107="",C107="",D107="",E107="",F107="",G107="",H107="",I107="",J107="",K107="",L107="",M107="",N107="",O107="",P107="",Q107=""),"Incomplete",IF(L107="Evidence required","Evidence required",IF(OR(I107="Hypothesis",I107="Observed association",I107="Contradictory or unresolved",Q107&lt;&gt;"Reviewed"),"Review required","Ready for qualified review"))))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75" t="str">
        <x:f>IF(A108="","",IF(OR(B108="",C108="",D108="",E108="",F108="",G108="",H108="",I108="",J108="",K108="",L108="",M108="",N108="",O108="",P108="",Q108=""),"Incomplete",IF(L108="Evidence required","Evidence required",IF(OR(I108="Hypothesis",I108="Observed association",I108="Contradictory or unresolved",Q108&lt;&gt;"Reviewed"),"Review required","Ready for qualified review"))))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75" t="str">
        <x:f>IF(A109="","",IF(OR(B109="",C109="",D109="",E109="",F109="",G109="",H109="",I109="",J109="",K109="",L109="",M109="",N109="",O109="",P109="",Q109=""),"Incomplete",IF(L109="Evidence required","Evidence required",IF(OR(I109="Hypothesis",I109="Observed association",I109="Contradictory or unresolved",Q109&lt;&gt;"Reviewed"),"Review required","Ready for qualified review"))))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75" t="str">
        <x:f>IF(A110="","",IF(OR(B110="",C110="",D110="",E110="",F110="",G110="",H110="",I110="",J110="",K110="",L110="",M110="",N110="",O110="",P110="",Q110=""),"Incomplete",IF(L110="Evidence required","Evidence required",IF(OR(I110="Hypothesis",I110="Observed association",I110="Contradictory or unresolved",Q110&lt;&gt;"Reviewed"),"Review required","Ready for qualified review"))))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75" t="str">
        <x:f>IF(A111="","",IF(OR(B111="",C111="",D111="",E111="",F111="",G111="",H111="",I111="",J111="",K111="",L111="",M111="",N111="",O111="",P111="",Q111=""),"Incomplete",IF(L111="Evidence required","Evidence required",IF(OR(I111="Hypothesis",I111="Observed association",I111="Contradictory or unresolved",Q111&lt;&gt;"Reviewed"),"Review required","Ready for qualified review"))))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75" t="str">
        <x:f>IF(A112="","",IF(OR(B112="",C112="",D112="",E112="",F112="",G112="",H112="",I112="",J112="",K112="",L112="",M112="",N112="",O112="",P112="",Q112=""),"Incomplete",IF(L112="Evidence required","Evidence required",IF(OR(I112="Hypothesis",I112="Observed association",I112="Contradictory or unresolved",Q112&lt;&gt;"Reviewed"),"Review required","Ready for qualified review"))))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75" t="str">
        <x:f>IF(A113="","",IF(OR(B113="",C113="",D113="",E113="",F113="",G113="",H113="",I113="",J113="",K113="",L113="",M113="",N113="",O113="",P113="",Q113=""),"Incomplete",IF(L113="Evidence required","Evidence required",IF(OR(I113="Hypothesis",I113="Observed association",I113="Contradictory or unresolved",Q113&lt;&gt;"Reviewed"),"Review required","Ready for qualified review"))))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75" t="str">
        <x:f>IF(A114="","",IF(OR(B114="",C114="",D114="",E114="",F114="",G114="",H114="",I114="",J114="",K114="",L114="",M114="",N114="",O114="",P114="",Q114=""),"Incomplete",IF(L114="Evidence required","Evidence required",IF(OR(I114="Hypothesis",I114="Observed association",I114="Contradictory or unresolved",Q114&lt;&gt;"Reviewed"),"Review required","Ready for qualified review"))))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75" t="str">
        <x:f>IF(A115="","",IF(OR(B115="",C115="",D115="",E115="",F115="",G115="",H115="",I115="",J115="",K115="",L115="",M115="",N115="",O115="",P115="",Q115=""),"Incomplete",IF(L115="Evidence required","Evidence required",IF(OR(I115="Hypothesis",I115="Observed association",I115="Contradictory or unresolved",Q115&lt;&gt;"Reviewed"),"Review required","Ready for qualified review"))))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75" t="str">
        <x:f>IF(A116="","",IF(OR(B116="",C116="",D116="",E116="",F116="",G116="",H116="",I116="",J116="",K116="",L116="",M116="",N116="",O116="",P116="",Q116=""),"Incomplete",IF(L116="Evidence required","Evidence required",IF(OR(I116="Hypothesis",I116="Observed association",I116="Contradictory or unresolved",Q116&lt;&gt;"Reviewed"),"Review required","Ready for qualified review"))))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75" t="str">
        <x:f>IF(A117="","",IF(OR(B117="",C117="",D117="",E117="",F117="",G117="",H117="",I117="",J117="",K117="",L117="",M117="",N117="",O117="",P117="",Q117=""),"Incomplete",IF(L117="Evidence required","Evidence required",IF(OR(I117="Hypothesis",I117="Observed association",I117="Contradictory or unresolved",Q117&lt;&gt;"Reviewed"),"Review required","Ready for qualified review"))))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75" t="str">
        <x:f>IF(A118="","",IF(OR(B118="",C118="",D118="",E118="",F118="",G118="",H118="",I118="",J118="",K118="",L118="",M118="",N118="",O118="",P118="",Q118=""),"Incomplete",IF(L118="Evidence required","Evidence required",IF(OR(I118="Hypothesis",I118="Observed association",I118="Contradictory or unresolved",Q118&lt;&gt;"Reviewed"),"Review required","Ready for qualified review"))))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75" t="str">
        <x:f>IF(A119="","",IF(OR(B119="",C119="",D119="",E119="",F119="",G119="",H119="",I119="",J119="",K119="",L119="",M119="",N119="",O119="",P119="",Q119=""),"Incomplete",IF(L119="Evidence required","Evidence required",IF(OR(I119="Hypothesis",I119="Observed association",I119="Contradictory or unresolved",Q119&lt;&gt;"Reviewed"),"Review required","Ready for qualified review"))))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75" t="str">
        <x:f>IF(A120="","",IF(OR(B120="",C120="",D120="",E120="",F120="",G120="",H120="",I120="",J120="",K120="",L120="",M120="",N120="",O120="",P120="",Q120=""),"Incomplete",IF(L120="Evidence required","Evidence required",IF(OR(I120="Hypothesis",I120="Observed association",I120="Contradictory or unresolved",Q120&lt;&gt;"Reviewed"),"Review required","Ready for qualified review"))))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75" t="str">
        <x:f>IF(A121="","",IF(OR(B121="",C121="",D121="",E121="",F121="",G121="",H121="",I121="",J121="",K121="",L121="",M121="",N121="",O121="",P121="",Q121=""),"Incomplete",IF(L121="Evidence required","Evidence required",IF(OR(I121="Hypothesis",I121="Observed association",I121="Contradictory or unresolved",Q121&lt;&gt;"Reviewed"),"Review required","Ready for qualified review"))))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75" t="str">
        <x:f>IF(A122="","",IF(OR(B122="",C122="",D122="",E122="",F122="",G122="",H122="",I122="",J122="",K122="",L122="",M122="",N122="",O122="",P122="",Q122=""),"Incomplete",IF(L122="Evidence required","Evidence required",IF(OR(I122="Hypothesis",I122="Observed association",I122="Contradictory or unresolved",Q122&lt;&gt;"Reviewed"),"Review required","Ready for qualified review"))))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75" t="str">
        <x:f>IF(A123="","",IF(OR(B123="",C123="",D123="",E123="",F123="",G123="",H123="",I123="",J123="",K123="",L123="",M123="",N123="",O123="",P123="",Q123=""),"Incomplete",IF(L123="Evidence required","Evidence required",IF(OR(I123="Hypothesis",I123="Observed association",I123="Contradictory or unresolved",Q123&lt;&gt;"Reviewed"),"Review required","Ready for qualified review"))))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75" t="str">
        <x:f>IF(A124="","",IF(OR(B124="",C124="",D124="",E124="",F124="",G124="",H124="",I124="",J124="",K124="",L124="",M124="",N124="",O124="",P124="",Q124=""),"Incomplete",IF(L124="Evidence required","Evidence required",IF(OR(I124="Hypothesis",I124="Observed association",I124="Contradictory or unresolved",Q124&lt;&gt;"Reviewed"),"Review required","Ready for qualified review"))))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75" t="str">
        <x:f>IF(A125="","",IF(OR(B125="",C125="",D125="",E125="",F125="",G125="",H125="",I125="",J125="",K125="",L125="",M125="",N125="",O125="",P125="",Q125=""),"Incomplete",IF(L125="Evidence required","Evidence required",IF(OR(I125="Hypothesis",I125="Observed association",I125="Contradictory or unresolved",Q125&lt;&gt;"Reviewed"),"Review required","Ready for qualified review"))))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75" t="str">
        <x:f>IF(A126="","",IF(OR(B126="",C126="",D126="",E126="",F126="",G126="",H126="",I126="",J126="",K126="",L126="",M126="",N126="",O126="",P126="",Q126=""),"Incomplete",IF(L126="Evidence required","Evidence required",IF(OR(I126="Hypothesis",I126="Observed association",I126="Contradictory or unresolved",Q126&lt;&gt;"Reviewed"),"Review required","Ready for qualified review"))))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75" t="str">
        <x:f>IF(A127="","",IF(OR(B127="",C127="",D127="",E127="",F127="",G127="",H127="",I127="",J127="",K127="",L127="",M127="",N127="",O127="",P127="",Q127=""),"Incomplete",IF(L127="Evidence required","Evidence required",IF(OR(I127="Hypothesis",I127="Observed association",I127="Contradictory or unresolved",Q127&lt;&gt;"Reviewed"),"Review required","Ready for qualified review"))))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75" t="str">
        <x:f>IF(A128="","",IF(OR(B128="",C128="",D128="",E128="",F128="",G128="",H128="",I128="",J128="",K128="",L128="",M128="",N128="",O128="",P128="",Q128=""),"Incomplete",IF(L128="Evidence required","Evidence required",IF(OR(I128="Hypothesis",I128="Observed association",I128="Contradictory or unresolved",Q128&lt;&gt;"Reviewed"),"Review required","Ready for qualified review"))))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75" t="str">
        <x:f>IF(A129="","",IF(OR(B129="",C129="",D129="",E129="",F129="",G129="",H129="",I129="",J129="",K129="",L129="",M129="",N129="",O129="",P129="",Q129=""),"Incomplete",IF(L129="Evidence required","Evidence required",IF(OR(I129="Hypothesis",I129="Observed association",I129="Contradictory or unresolved",Q129&lt;&gt;"Reviewed"),"Review required","Ready for qualified review"))))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75" t="str">
        <x:f>IF(A130="","",IF(OR(B130="",C130="",D130="",E130="",F130="",G130="",H130="",I130="",J130="",K130="",L130="",M130="",N130="",O130="",P130="",Q130=""),"Incomplete",IF(L130="Evidence required","Evidence required",IF(OR(I130="Hypothesis",I130="Observed association",I130="Contradictory or unresolved",Q130&lt;&gt;"Reviewed"),"Review required","Ready for qualified review"))))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75" t="str">
        <x:f>IF(A131="","",IF(OR(B131="",C131="",D131="",E131="",F131="",G131="",H131="",I131="",J131="",K131="",L131="",M131="",N131="",O131="",P131="",Q131=""),"Incomplete",IF(L131="Evidence required","Evidence required",IF(OR(I131="Hypothesis",I131="Observed association",I131="Contradictory or unresolved",Q131&lt;&gt;"Reviewed"),"Review required","Ready for qualified review"))))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75" t="str">
        <x:f>IF(A132="","",IF(OR(B132="",C132="",D132="",E132="",F132="",G132="",H132="",I132="",J132="",K132="",L132="",M132="",N132="",O132="",P132="",Q132=""),"Incomplete",IF(L132="Evidence required","Evidence required",IF(OR(I132="Hypothesis",I132="Observed association",I132="Contradictory or unresolved",Q132&lt;&gt;"Reviewed"),"Review required","Ready for qualified review"))))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75" t="str">
        <x:f>IF(A133="","",IF(OR(B133="",C133="",D133="",E133="",F133="",G133="",H133="",I133="",J133="",K133="",L133="",M133="",N133="",O133="",P133="",Q133=""),"Incomplete",IF(L133="Evidence required","Evidence required",IF(OR(I133="Hypothesis",I133="Observed association",I133="Contradictory or unresolved",Q133&lt;&gt;"Reviewed"),"Review required","Ready for qualified review"))))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75" t="str">
        <x:f>IF(A134="","",IF(OR(B134="",C134="",D134="",E134="",F134="",G134="",H134="",I134="",J134="",K134="",L134="",M134="",N134="",O134="",P134="",Q134=""),"Incomplete",IF(L134="Evidence required","Evidence required",IF(OR(I134="Hypothesis",I134="Observed association",I134="Contradictory or unresolved",Q134&lt;&gt;"Reviewed"),"Review required","Ready for qualified review"))))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75" t="str">
        <x:f>IF(A135="","",IF(OR(B135="",C135="",D135="",E135="",F135="",G135="",H135="",I135="",J135="",K135="",L135="",M135="",N135="",O135="",P135="",Q135=""),"Incomplete",IF(L135="Evidence required","Evidence required",IF(OR(I135="Hypothesis",I135="Observed association",I135="Contradictory or unresolved",Q135&lt;&gt;"Reviewed"),"Review required","Ready for qualified review"))))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75" t="str">
        <x:f>IF(A136="","",IF(OR(B136="",C136="",D136="",E136="",F136="",G136="",H136="",I136="",J136="",K136="",L136="",M136="",N136="",O136="",P136="",Q136=""),"Incomplete",IF(L136="Evidence required","Evidence required",IF(OR(I136="Hypothesis",I136="Observed association",I136="Contradictory or unresolved",Q136&lt;&gt;"Reviewed"),"Review required","Ready for qualified review"))))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75" t="str">
        <x:f>IF(A137="","",IF(OR(B137="",C137="",D137="",E137="",F137="",G137="",H137="",I137="",J137="",K137="",L137="",M137="",N137="",O137="",P137="",Q137=""),"Incomplete",IF(L137="Evidence required","Evidence required",IF(OR(I137="Hypothesis",I137="Observed association",I137="Contradictory or unresolved",Q137&lt;&gt;"Reviewed"),"Review required","Ready for qualified review"))))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75" t="str">
        <x:f>IF(A138="","",IF(OR(B138="",C138="",D138="",E138="",F138="",G138="",H138="",I138="",J138="",K138="",L138="",M138="",N138="",O138="",P138="",Q138=""),"Incomplete",IF(L138="Evidence required","Evidence required",IF(OR(I138="Hypothesis",I138="Observed association",I138="Contradictory or unresolved",Q138&lt;&gt;"Reviewed"),"Review required","Ready for qualified review"))))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75" t="str">
        <x:f>IF(A139="","",IF(OR(B139="",C139="",D139="",E139="",F139="",G139="",H139="",I139="",J139="",K139="",L139="",M139="",N139="",O139="",P139="",Q139=""),"Incomplete",IF(L139="Evidence required","Evidence required",IF(OR(I139="Hypothesis",I139="Observed association",I139="Contradictory or unresolved",Q139&lt;&gt;"Reviewed"),"Review required","Ready for qualified review"))))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75" t="str">
        <x:f>IF(A140="","",IF(OR(B140="",C140="",D140="",E140="",F140="",G140="",H140="",I140="",J140="",K140="",L140="",M140="",N140="",O140="",P140="",Q140=""),"Incomplete",IF(L140="Evidence required","Evidence required",IF(OR(I140="Hypothesis",I140="Observed association",I140="Contradictory or unresolved",Q140&lt;&gt;"Reviewed"),"Review required","Ready for qualified review"))))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75" t="str">
        <x:f>IF(A141="","",IF(OR(B141="",C141="",D141="",E141="",F141="",G141="",H141="",I141="",J141="",K141="",L141="",M141="",N141="",O141="",P141="",Q141=""),"Incomplete",IF(L141="Evidence required","Evidence required",IF(OR(I141="Hypothesis",I141="Observed association",I141="Contradictory or unresolved",Q141&lt;&gt;"Reviewed"),"Review required","Ready for qualified review"))))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75" t="str">
        <x:f>IF(A142="","",IF(OR(B142="",C142="",D142="",E142="",F142="",G142="",H142="",I142="",J142="",K142="",L142="",M142="",N142="",O142="",P142="",Q142=""),"Incomplete",IF(L142="Evidence required","Evidence required",IF(OR(I142="Hypothesis",I142="Observed association",I142="Contradictory or unresolved",Q142&lt;&gt;"Reviewed"),"Review required","Ready for qualified review"))))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75" t="str">
        <x:f>IF(A143="","",IF(OR(B143="",C143="",D143="",E143="",F143="",G143="",H143="",I143="",J143="",K143="",L143="",M143="",N143="",O143="",P143="",Q143=""),"Incomplete",IF(L143="Evidence required","Evidence required",IF(OR(I143="Hypothesis",I143="Observed association",I143="Contradictory or unresolved",Q143&lt;&gt;"Reviewed"),"Review required","Ready for qualified review"))))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75" t="str">
        <x:f>IF(A144="","",IF(OR(B144="",C144="",D144="",E144="",F144="",G144="",H144="",I144="",J144="",K144="",L144="",M144="",N144="",O144="",P144="",Q144=""),"Incomplete",IF(L144="Evidence required","Evidence required",IF(OR(I144="Hypothesis",I144="Observed association",I144="Contradictory or unresolved",Q144&lt;&gt;"Reviewed"),"Review required","Ready for qualified review"))))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75" t="str">
        <x:f>IF(A145="","",IF(OR(B145="",C145="",D145="",E145="",F145="",G145="",H145="",I145="",J145="",K145="",L145="",M145="",N145="",O145="",P145="",Q145=""),"Incomplete",IF(L145="Evidence required","Evidence required",IF(OR(I145="Hypothesis",I145="Observed association",I145="Contradictory or unresolved",Q145&lt;&gt;"Reviewed"),"Review required","Ready for qualified review"))))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75" t="str">
        <x:f>IF(A146="","",IF(OR(B146="",C146="",D146="",E146="",F146="",G146="",H146="",I146="",J146="",K146="",L146="",M146="",N146="",O146="",P146="",Q146=""),"Incomplete",IF(L146="Evidence required","Evidence required",IF(OR(I146="Hypothesis",I146="Observed association",I146="Contradictory or unresolved",Q146&lt;&gt;"Reviewed"),"Review required","Ready for qualified review"))))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75" t="str">
        <x:f>IF(A147="","",IF(OR(B147="",C147="",D147="",E147="",F147="",G147="",H147="",I147="",J147="",K147="",L147="",M147="",N147="",O147="",P147="",Q147=""),"Incomplete",IF(L147="Evidence required","Evidence required",IF(OR(I147="Hypothesis",I147="Observed association",I147="Contradictory or unresolved",Q147&lt;&gt;"Reviewed"),"Review required","Ready for qualified review"))))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75" t="str">
        <x:f>IF(A148="","",IF(OR(B148="",C148="",D148="",E148="",F148="",G148="",H148="",I148="",J148="",K148="",L148="",M148="",N148="",O148="",P148="",Q148=""),"Incomplete",IF(L148="Evidence required","Evidence required",IF(OR(I148="Hypothesis",I148="Observed association",I148="Contradictory or unresolved",Q148&lt;&gt;"Reviewed"),"Review required","Ready for qualified review"))))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75" t="str">
        <x:f>IF(A149="","",IF(OR(B149="",C149="",D149="",E149="",F149="",G149="",H149="",I149="",J149="",K149="",L149="",M149="",N149="",O149="",P149="",Q149=""),"Incomplete",IF(L149="Evidence required","Evidence required",IF(OR(I149="Hypothesis",I149="Observed association",I149="Contradictory or unresolved",Q149&lt;&gt;"Reviewed"),"Review required","Ready for qualified review"))))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75" t="str">
        <x:f>IF(A150="","",IF(OR(B150="",C150="",D150="",E150="",F150="",G150="",H150="",I150="",J150="",K150="",L150="",M150="",N150="",O150="",P150="",Q150=""),"Incomplete",IF(L150="Evidence required","Evidence required",IF(OR(I150="Hypothesis",I150="Observed association",I150="Contradictory or unresolved",Q150&lt;&gt;"Reviewed"),"Review required","Ready for qualified review"))))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75" t="str">
        <x:f>IF(A151="","",IF(OR(B151="",C151="",D151="",E151="",F151="",G151="",H151="",I151="",J151="",K151="",L151="",M151="",N151="",O151="",P151="",Q151=""),"Incomplete",IF(L151="Evidence required","Evidence required",IF(OR(I151="Hypothesis",I151="Observed association",I151="Contradictory or unresolved",Q151&lt;&gt;"Reviewed"),"Review required","Ready for qualified review"))))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75" t="str">
        <x:f>IF(A152="","",IF(OR(B152="",C152="",D152="",E152="",F152="",G152="",H152="",I152="",J152="",K152="",L152="",M152="",N152="",O152="",P152="",Q152=""),"Incomplete",IF(L152="Evidence required","Evidence required",IF(OR(I152="Hypothesis",I152="Observed association",I152="Contradictory or unresolved",Q152&lt;&gt;"Reviewed"),"Review required","Ready for qualified review"))))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75" t="str">
        <x:f>IF(A153="","",IF(OR(B153="",C153="",D153="",E153="",F153="",G153="",H153="",I153="",J153="",K153="",L153="",M153="",N153="",O153="",P153="",Q153=""),"Incomplete",IF(L153="Evidence required","Evidence required",IF(OR(I153="Hypothesis",I153="Observed association",I153="Contradictory or unresolved",Q153&lt;&gt;"Reviewed"),"Review required","Ready for qualified review"))))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75" t="str">
        <x:f>IF(A154="","",IF(OR(B154="",C154="",D154="",E154="",F154="",G154="",H154="",I154="",J154="",K154="",L154="",M154="",N154="",O154="",P154="",Q154=""),"Incomplete",IF(L154="Evidence required","Evidence required",IF(OR(I154="Hypothesis",I154="Observed association",I154="Contradictory or unresolved",Q154&lt;&gt;"Reviewed"),"Review required","Ready for qualified review"))))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75" t="str">
        <x:f>IF(A155="","",IF(OR(B155="",C155="",D155="",E155="",F155="",G155="",H155="",I155="",J155="",K155="",L155="",M155="",N155="",O155="",P155="",Q155=""),"Incomplete",IF(L155="Evidence required","Evidence required",IF(OR(I155="Hypothesis",I155="Observed association",I155="Contradictory or unresolved",Q155&lt;&gt;"Reviewed"),"Review required","Ready for qualified review"))))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75" t="str">
        <x:f>IF(A156="","",IF(OR(B156="",C156="",D156="",E156="",F156="",G156="",H156="",I156="",J156="",K156="",L156="",M156="",N156="",O156="",P156="",Q156=""),"Incomplete",IF(L156="Evidence required","Evidence required",IF(OR(I156="Hypothesis",I156="Observed association",I156="Contradictory or unresolved",Q156&lt;&gt;"Reviewed"),"Review required","Ready for qualified review"))))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75" t="str">
        <x:f>IF(A157="","",IF(OR(B157="",C157="",D157="",E157="",F157="",G157="",H157="",I157="",J157="",K157="",L157="",M157="",N157="",O157="",P157="",Q157=""),"Incomplete",IF(L157="Evidence required","Evidence required",IF(OR(I157="Hypothesis",I157="Observed association",I157="Contradictory or unresolved",Q157&lt;&gt;"Reviewed"),"Review required","Ready for qualified review"))))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75" t="str">
        <x:f>IF(A158="","",IF(OR(B158="",C158="",D158="",E158="",F158="",G158="",H158="",I158="",J158="",K158="",L158="",M158="",N158="",O158="",P158="",Q158=""),"Incomplete",IF(L158="Evidence required","Evidence required",IF(OR(I158="Hypothesis",I158="Observed association",I158="Contradictory or unresolved",Q158&lt;&gt;"Reviewed"),"Review required","Ready for qualified review"))))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75" t="str">
        <x:f>IF(A159="","",IF(OR(B159="",C159="",D159="",E159="",F159="",G159="",H159="",I159="",J159="",K159="",L159="",M159="",N159="",O159="",P159="",Q159=""),"Incomplete",IF(L159="Evidence required","Evidence required",IF(OR(I159="Hypothesis",I159="Observed association",I159="Contradictory or unresolved",Q159&lt;&gt;"Reviewed"),"Review required","Ready for qualified review"))))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75" t="str">
        <x:f>IF(A160="","",IF(OR(B160="",C160="",D160="",E160="",F160="",G160="",H160="",I160="",J160="",K160="",L160="",M160="",N160="",O160="",P160="",Q160=""),"Incomplete",IF(L160="Evidence required","Evidence required",IF(OR(I160="Hypothesis",I160="Observed association",I160="Contradictory or unresolved",Q160&lt;&gt;"Reviewed"),"Review required","Ready for qualified review"))))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75" t="str">
        <x:f>IF(A161="","",IF(OR(B161="",C161="",D161="",E161="",F161="",G161="",H161="",I161="",J161="",K161="",L161="",M161="",N161="",O161="",P161="",Q161=""),"Incomplete",IF(L161="Evidence required","Evidence required",IF(OR(I161="Hypothesis",I161="Observed association",I161="Contradictory or unresolved",Q161&lt;&gt;"Reviewed"),"Review required","Ready for qualified review"))))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75" t="str">
        <x:f>IF(A162="","",IF(OR(B162="",C162="",D162="",E162="",F162="",G162="",H162="",I162="",J162="",K162="",L162="",M162="",N162="",O162="",P162="",Q162=""),"Incomplete",IF(L162="Evidence required","Evidence required",IF(OR(I162="Hypothesis",I162="Observed association",I162="Contradictory or unresolved",Q162&lt;&gt;"Reviewed"),"Review required","Ready for qualified review"))))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75" t="str">
        <x:f>IF(A163="","",IF(OR(B163="",C163="",D163="",E163="",F163="",G163="",H163="",I163="",J163="",K163="",L163="",M163="",N163="",O163="",P163="",Q163=""),"Incomplete",IF(L163="Evidence required","Evidence required",IF(OR(I163="Hypothesis",I163="Observed association",I163="Contradictory or unresolved",Q163&lt;&gt;"Reviewed"),"Review required","Ready for qualified review"))))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75" t="str">
        <x:f>IF(A164="","",IF(OR(B164="",C164="",D164="",E164="",F164="",G164="",H164="",I164="",J164="",K164="",L164="",M164="",N164="",O164="",P164="",Q164=""),"Incomplete",IF(L164="Evidence required","Evidence required",IF(OR(I164="Hypothesis",I164="Observed association",I164="Contradictory or unresolved",Q164&lt;&gt;"Reviewed"),"Review required","Ready for qualified review"))))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75" t="str">
        <x:f>IF(A165="","",IF(OR(B165="",C165="",D165="",E165="",F165="",G165="",H165="",I165="",J165="",K165="",L165="",M165="",N165="",O165="",P165="",Q165=""),"Incomplete",IF(L165="Evidence required","Evidence required",IF(OR(I165="Hypothesis",I165="Observed association",I165="Contradictory or unresolved",Q165&lt;&gt;"Reviewed"),"Review required","Ready for qualified review"))))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75" t="str">
        <x:f>IF(A166="","",IF(OR(B166="",C166="",D166="",E166="",F166="",G166="",H166="",I166="",J166="",K166="",L166="",M166="",N166="",O166="",P166="",Q166=""),"Incomplete",IF(L166="Evidence required","Evidence required",IF(OR(I166="Hypothesis",I166="Observed association",I166="Contradictory or unresolved",Q166&lt;&gt;"Reviewed"),"Review required","Ready for qualified review"))))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75" t="str">
        <x:f>IF(A167="","",IF(OR(B167="",C167="",D167="",E167="",F167="",G167="",H167="",I167="",J167="",K167="",L167="",M167="",N167="",O167="",P167="",Q167=""),"Incomplete",IF(L167="Evidence required","Evidence required",IF(OR(I167="Hypothesis",I167="Observed association",I167="Contradictory or unresolved",Q167&lt;&gt;"Reviewed"),"Review required","Ready for qualified review"))))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75" t="str">
        <x:f>IF(A168="","",IF(OR(B168="",C168="",D168="",E168="",F168="",G168="",H168="",I168="",J168="",K168="",L168="",M168="",N168="",O168="",P168="",Q168=""),"Incomplete",IF(L168="Evidence required","Evidence required",IF(OR(I168="Hypothesis",I168="Observed association",I168="Contradictory or unresolved",Q168&lt;&gt;"Reviewed"),"Review required","Ready for qualified review"))))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75" t="str">
        <x:f>IF(A169="","",IF(OR(B169="",C169="",D169="",E169="",F169="",G169="",H169="",I169="",J169="",K169="",L169="",M169="",N169="",O169="",P169="",Q169=""),"Incomplete",IF(L169="Evidence required","Evidence required",IF(OR(I169="Hypothesis",I169="Observed association",I169="Contradictory or unresolved",Q169&lt;&gt;"Reviewed"),"Review required","Ready for qualified review"))))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75" t="str">
        <x:f>IF(A170="","",IF(OR(B170="",C170="",D170="",E170="",F170="",G170="",H170="",I170="",J170="",K170="",L170="",M170="",N170="",O170="",P170="",Q170=""),"Incomplete",IF(L170="Evidence required","Evidence required",IF(OR(I170="Hypothesis",I170="Observed association",I170="Contradictory or unresolved",Q170&lt;&gt;"Reviewed"),"Review required","Ready for qualified review"))))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75" t="str">
        <x:f>IF(A171="","",IF(OR(B171="",C171="",D171="",E171="",F171="",G171="",H171="",I171="",J171="",K171="",L171="",M171="",N171="",O171="",P171="",Q171=""),"Incomplete",IF(L171="Evidence required","Evidence required",IF(OR(I171="Hypothesis",I171="Observed association",I171="Contradictory or unresolved",Q171&lt;&gt;"Reviewed"),"Review required","Ready for qualified review"))))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75" t="str">
        <x:f>IF(A172="","",IF(OR(B172="",C172="",D172="",E172="",F172="",G172="",H172="",I172="",J172="",K172="",L172="",M172="",N172="",O172="",P172="",Q172=""),"Incomplete",IF(L172="Evidence required","Evidence required",IF(OR(I172="Hypothesis",I172="Observed association",I172="Contradictory or unresolved",Q172&lt;&gt;"Reviewed"),"Review required","Ready for qualified review"))))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75" t="str">
        <x:f>IF(A173="","",IF(OR(B173="",C173="",D173="",E173="",F173="",G173="",H173="",I173="",J173="",K173="",L173="",M173="",N173="",O173="",P173="",Q173=""),"Incomplete",IF(L173="Evidence required","Evidence required",IF(OR(I173="Hypothesis",I173="Observed association",I173="Contradictory or unresolved",Q173&lt;&gt;"Reviewed"),"Review required","Ready for qualified review"))))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75" t="str">
        <x:f>IF(A174="","",IF(OR(B174="",C174="",D174="",E174="",F174="",G174="",H174="",I174="",J174="",K174="",L174="",M174="",N174="",O174="",P174="",Q174=""),"Incomplete",IF(L174="Evidence required","Evidence required",IF(OR(I174="Hypothesis",I174="Observed association",I174="Contradictory or unresolved",Q174&lt;&gt;"Reviewed"),"Review required","Ready for qualified review"))))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75" t="str">
        <x:f>IF(A175="","",IF(OR(B175="",C175="",D175="",E175="",F175="",G175="",H175="",I175="",J175="",K175="",L175="",M175="",N175="",O175="",P175="",Q175=""),"Incomplete",IF(L175="Evidence required","Evidence required",IF(OR(I175="Hypothesis",I175="Observed association",I175="Contradictory or unresolved",Q175&lt;&gt;"Reviewed"),"Review required","Ready for qualified review"))))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75" t="str">
        <x:f>IF(A176="","",IF(OR(B176="",C176="",D176="",E176="",F176="",G176="",H176="",I176="",J176="",K176="",L176="",M176="",N176="",O176="",P176="",Q176=""),"Incomplete",IF(L176="Evidence required","Evidence required",IF(OR(I176="Hypothesis",I176="Observed association",I176="Contradictory or unresolved",Q176&lt;&gt;"Reviewed"),"Review required","Ready for qualified review"))))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75" t="str">
        <x:f>IF(A177="","",IF(OR(B177="",C177="",D177="",E177="",F177="",G177="",H177="",I177="",J177="",K177="",L177="",M177="",N177="",O177="",P177="",Q177=""),"Incomplete",IF(L177="Evidence required","Evidence required",IF(OR(I177="Hypothesis",I177="Observed association",I177="Contradictory or unresolved",Q177&lt;&gt;"Reviewed"),"Review required","Ready for qualified review"))))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75" t="str">
        <x:f>IF(A178="","",IF(OR(B178="",C178="",D178="",E178="",F178="",G178="",H178="",I178="",J178="",K178="",L178="",M178="",N178="",O178="",P178="",Q178=""),"Incomplete",IF(L178="Evidence required","Evidence required",IF(OR(I178="Hypothesis",I178="Observed association",I178="Contradictory or unresolved",Q178&lt;&gt;"Reviewed"),"Review required","Ready for qualified review"))))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75" t="str">
        <x:f>IF(A179="","",IF(OR(B179="",C179="",D179="",E179="",F179="",G179="",H179="",I179="",J179="",K179="",L179="",M179="",N179="",O179="",P179="",Q179=""),"Incomplete",IF(L179="Evidence required","Evidence required",IF(OR(I179="Hypothesis",I179="Observed association",I179="Contradictory or unresolved",Q179&lt;&gt;"Reviewed"),"Review required","Ready for qualified review"))))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75" t="str">
        <x:f>IF(A180="","",IF(OR(B180="",C180="",D180="",E180="",F180="",G180="",H180="",I180="",J180="",K180="",L180="",M180="",N180="",O180="",P180="",Q180=""),"Incomplete",IF(L180="Evidence required","Evidence required",IF(OR(I180="Hypothesis",I180="Observed association",I180="Contradictory or unresolved",Q180&lt;&gt;"Reviewed"),"Review required","Ready for qualified review"))))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75" t="str">
        <x:f>IF(A181="","",IF(OR(B181="",C181="",D181="",E181="",F181="",G181="",H181="",I181="",J181="",K181="",L181="",M181="",N181="",O181="",P181="",Q181=""),"Incomplete",IF(L181="Evidence required","Evidence required",IF(OR(I181="Hypothesis",I181="Observed association",I181="Contradictory or unresolved",Q181&lt;&gt;"Reviewed"),"Review required","Ready for qualified review"))))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75" t="str">
        <x:f>IF(A182="","",IF(OR(B182="",C182="",D182="",E182="",F182="",G182="",H182="",I182="",J182="",K182="",L182="",M182="",N182="",O182="",P182="",Q182=""),"Incomplete",IF(L182="Evidence required","Evidence required",IF(OR(I182="Hypothesis",I182="Observed association",I182="Contradictory or unresolved",Q182&lt;&gt;"Reviewed"),"Review required","Ready for qualified review"))))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75" t="str">
        <x:f>IF(A183="","",IF(OR(B183="",C183="",D183="",E183="",F183="",G183="",H183="",I183="",J183="",K183="",L183="",M183="",N183="",O183="",P183="",Q183=""),"Incomplete",IF(L183="Evidence required","Evidence required",IF(OR(I183="Hypothesis",I183="Observed association",I183="Contradictory or unresolved",Q183&lt;&gt;"Reviewed"),"Review required","Ready for qualified review"))))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75" t="str">
        <x:f>IF(A184="","",IF(OR(B184="",C184="",D184="",E184="",F184="",G184="",H184="",I184="",J184="",K184="",L184="",M184="",N184="",O184="",P184="",Q184=""),"Incomplete",IF(L184="Evidence required","Evidence required",IF(OR(I184="Hypothesis",I184="Observed association",I184="Contradictory or unresolved",Q184&lt;&gt;"Reviewed"),"Review required","Ready for qualified review"))))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75" t="str">
        <x:f>IF(A185="","",IF(OR(B185="",C185="",D185="",E185="",F185="",G185="",H185="",I185="",J185="",K185="",L185="",M185="",N185="",O185="",P185="",Q185=""),"Incomplete",IF(L185="Evidence required","Evidence required",IF(OR(I185="Hypothesis",I185="Observed association",I185="Contradictory or unresolved",Q185&lt;&gt;"Reviewed"),"Review required","Ready for qualified review"))))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75" t="str">
        <x:f>IF(A186="","",IF(OR(B186="",C186="",D186="",E186="",F186="",G186="",H186="",I186="",J186="",K186="",L186="",M186="",N186="",O186="",P186="",Q186=""),"Incomplete",IF(L186="Evidence required","Evidence required",IF(OR(I186="Hypothesis",I186="Observed association",I186="Contradictory or unresolved",Q186&lt;&gt;"Reviewed"),"Review required","Ready for qualified review"))))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75" t="str">
        <x:f>IF(A187="","",IF(OR(B187="",C187="",D187="",E187="",F187="",G187="",H187="",I187="",J187="",K187="",L187="",M187="",N187="",O187="",P187="",Q187=""),"Incomplete",IF(L187="Evidence required","Evidence required",IF(OR(I187="Hypothesis",I187="Observed association",I187="Contradictory or unresolved",Q187&lt;&gt;"Reviewed"),"Review required","Ready for qualified review"))))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75" t="str">
        <x:f>IF(A188="","",IF(OR(B188="",C188="",D188="",E188="",F188="",G188="",H188="",I188="",J188="",K188="",L188="",M188="",N188="",O188="",P188="",Q188=""),"Incomplete",IF(L188="Evidence required","Evidence required",IF(OR(I188="Hypothesis",I188="Observed association",I188="Contradictory or unresolved",Q188&lt;&gt;"Reviewed"),"Review required","Ready for qualified review"))))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75" t="str">
        <x:f>IF(A189="","",IF(OR(B189="",C189="",D189="",E189="",F189="",G189="",H189="",I189="",J189="",K189="",L189="",M189="",N189="",O189="",P189="",Q189=""),"Incomplete",IF(L189="Evidence required","Evidence required",IF(OR(I189="Hypothesis",I189="Observed association",I189="Contradictory or unresolved",Q189&lt;&gt;"Reviewed"),"Review required","Ready for qualified review"))))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75" t="str">
        <x:f>IF(A190="","",IF(OR(B190="",C190="",D190="",E190="",F190="",G190="",H190="",I190="",J190="",K190="",L190="",M190="",N190="",O190="",P190="",Q190=""),"Incomplete",IF(L190="Evidence required","Evidence required",IF(OR(I190="Hypothesis",I190="Observed association",I190="Contradictory or unresolved",Q190&lt;&gt;"Reviewed"),"Review required","Ready for qualified review"))))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75" t="str">
        <x:f>IF(A191="","",IF(OR(B191="",C191="",D191="",E191="",F191="",G191="",H191="",I191="",J191="",K191="",L191="",M191="",N191="",O191="",P191="",Q191=""),"Incomplete",IF(L191="Evidence required","Evidence required",IF(OR(I191="Hypothesis",I191="Observed association",I191="Contradictory or unresolved",Q191&lt;&gt;"Reviewed"),"Review required","Ready for qualified review"))))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75" t="str">
        <x:f>IF(A192="","",IF(OR(B192="",C192="",D192="",E192="",F192="",G192="",H192="",I192="",J192="",K192="",L192="",M192="",N192="",O192="",P192="",Q192=""),"Incomplete",IF(L192="Evidence required","Evidence required",IF(OR(I192="Hypothesis",I192="Observed association",I192="Contradictory or unresolved",Q192&lt;&gt;"Reviewed"),"Review required","Ready for qualified review"))))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75" t="str">
        <x:f>IF(A193="","",IF(OR(B193="",C193="",D193="",E193="",F193="",G193="",H193="",I193="",J193="",K193="",L193="",M193="",N193="",O193="",P193="",Q193=""),"Incomplete",IF(L193="Evidence required","Evidence required",IF(OR(I193="Hypothesis",I193="Observed association",I193="Contradictory or unresolved",Q193&lt;&gt;"Reviewed"),"Review required","Ready for qualified review"))))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75" t="str">
        <x:f>IF(A194="","",IF(OR(B194="",C194="",D194="",E194="",F194="",G194="",H194="",I194="",J194="",K194="",L194="",M194="",N194="",O194="",P194="",Q194=""),"Incomplete",IF(L194="Evidence required","Evidence required",IF(OR(I194="Hypothesis",I194="Observed association",I194="Contradictory or unresolved",Q194&lt;&gt;"Reviewed"),"Review required","Ready for qualified review"))))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75" t="str">
        <x:f>IF(A195="","",IF(OR(B195="",C195="",D195="",E195="",F195="",G195="",H195="",I195="",J195="",K195="",L195="",M195="",N195="",O195="",P195="",Q195=""),"Incomplete",IF(L195="Evidence required","Evidence required",IF(OR(I195="Hypothesis",I195="Observed association",I195="Contradictory or unresolved",Q195&lt;&gt;"Reviewed"),"Review required","Ready for qualified review"))))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75" t="str">
        <x:f>IF(A196="","",IF(OR(B196="",C196="",D196="",E196="",F196="",G196="",H196="",I196="",J196="",K196="",L196="",M196="",N196="",O196="",P196="",Q196=""),"Incomplete",IF(L196="Evidence required","Evidence required",IF(OR(I196="Hypothesis",I196="Observed association",I196="Contradictory or unresolved",Q196&lt;&gt;"Reviewed"),"Review required","Ready for qualified review"))))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75" t="str">
        <x:f>IF(A197="","",IF(OR(B197="",C197="",D197="",E197="",F197="",G197="",H197="",I197="",J197="",K197="",L197="",M197="",N197="",O197="",P197="",Q197=""),"Incomplete",IF(L197="Evidence required","Evidence required",IF(OR(I197="Hypothesis",I197="Observed association",I197="Contradictory or unresolved",Q197&lt;&gt;"Reviewed"),"Review required","Ready for qualified review"))))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75" t="str">
        <x:f>IF(A198="","",IF(OR(B198="",C198="",D198="",E198="",F198="",G198="",H198="",I198="",J198="",K198="",L198="",M198="",N198="",O198="",P198="",Q198=""),"Incomplete",IF(L198="Evidence required","Evidence required",IF(OR(I198="Hypothesis",I198="Observed association",I198="Contradictory or unresolved",Q198&lt;&gt;"Reviewed"),"Review required","Ready for qualified review"))))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75" t="str">
        <x:f>IF(A199="","",IF(OR(B199="",C199="",D199="",E199="",F199="",G199="",H199="",I199="",J199="",K199="",L199="",M199="",N199="",O199="",P199="",Q199=""),"Incomplete",IF(L199="Evidence required","Evidence required",IF(OR(I199="Hypothesis",I199="Observed association",I199="Contradictory or unresolved",Q199&lt;&gt;"Reviewed"),"Review required","Ready for qualified review"))))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75" t="str">
        <x:f>IF(A200="","",IF(OR(B200="",C200="",D200="",E200="",F200="",G200="",H200="",I200="",J200="",K200="",L200="",M200="",N200="",O200="",P200="",Q200=""),"Incomplete",IF(L200="Evidence required","Evidence required",IF(OR(I200="Hypothesis",I200="Observed association",I200="Contradictory or unresolved",Q200&lt;&gt;"Reviewed"),"Review required","Ready for qualified review"))))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75" t="str">
        <x:f>IF(A201="","",IF(OR(B201="",C201="",D201="",E201="",F201="",G201="",H201="",I201="",J201="",K201="",L201="",M201="",N201="",O201="",P201="",Q201=""),"Incomplete",IF(L201="Evidence required","Evidence required",IF(OR(I201="Hypothesis",I201="Observed association",I201="Contradictory or unresolved",Q201&lt;&gt;"Reviewed"),"Review required","Ready for qualified review"))))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75" t="str">
        <x:f>IF(A202="","",IF(OR(B202="",C202="",D202="",E202="",F202="",G202="",H202="",I202="",J202="",K202="",L202="",M202="",N202="",O202="",P202="",Q202=""),"Incomplete",IF(L202="Evidence required","Evidence required",IF(OR(I202="Hypothesis",I202="Observed association",I202="Contradictory or unresolved",Q202&lt;&gt;"Reviewed"),"Review required","Ready for qualified review"))))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75" t="str">
        <x:f>IF(A203="","",IF(OR(B203="",C203="",D203="",E203="",F203="",G203="",H203="",I203="",J203="",K203="",L203="",M203="",N203="",O203="",P203="",Q203=""),"Incomplete",IF(L203="Evidence required","Evidence required",IF(OR(I203="Hypothesis",I203="Observed association",I203="Contradictory or unresolved",Q203&lt;&gt;"Reviewed"),"Review required","Ready for qualified review"))))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75" t="str">
        <x:f>IF(A204="","",IF(OR(B204="",C204="",D204="",E204="",F204="",G204="",H204="",I204="",J204="",K204="",L204="",M204="",N204="",O204="",P204="",Q204=""),"Incomplete",IF(L204="Evidence required","Evidence required",IF(OR(I204="Hypothesis",I204="Observed association",I204="Contradictory or unresolved",Q204&lt;&gt;"Reviewed"),"Review required","Ready for qualified review"))))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0"/>
      <x:c r="L205" s="70"/>
      <x:c r="M205" s="70"/>
      <x:c r="N205" s="70"/>
      <x:c r="O205" s="70"/>
      <x:c r="P205" s="70"/>
      <x:c r="Q205" s="70"/>
      <x:c r="R205" s="76" t="str">
        <x:f>IF(A205="","",IF(OR(B205="",C205="",D205="",E205="",F205="",G205="",H205="",I205="",J205="",K205="",L205="",M205="",N205="",O205="",P205="",Q205=""),"Incomplete",IF(L205="Evidence required","Evidence required",IF(OR(I205="Hypothesis",I205="Observed association",I205="Contradictory or unresolved",Q205&lt;&gt;"Reviewed"),"Review required","Ready for qualified review"))))</x:f>
      </x:c>
    </x:row>
  </x:sheetData>
  <x:mergeCells>
    <x:mergeCell ref="A1:R1"/>
    <x:mergeCell ref="A2:R2"/>
  </x:mergeCells>
  <x:conditionalFormatting sqref="R6:R2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205">
      <x:formula1>"Clarification / separation,Affinity capture,Chromatography,Inactivation,Virus filtration,Concentration / buffer exchange,Hold / storage,Other"</x:formula1>
    </x:dataValidation>
    <x:dataValidation type="list" sqref="I6:I205">
      <x:formula1>"Hypothesis,Observed association,Designed-study support,Multi-source support,Contradictory or unresolved"</x:formula1>
    </x:dataValidation>
    <x:dataValidation type="list" sqref="Q6:Q2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18" hidden="0" customWidth="1"/>
    <x:col min="4" max="4" width="2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  <x:col min="9" max="9" width="23" hidden="0" customWidth="1"/>
    <x:col min="10" max="10" width="34" hidden="0" customWidth="1"/>
    <x:col min="11" max="11" width="34" hidden="0" customWidth="1"/>
    <x:col min="12" max="12" width="18" hidden="0" customWidth="1"/>
    <x:col min="13" max="13" width="32" hidden="0" customWidth="1"/>
    <x:col min="14" max="14" width="28" hidden="0" customWidth="1"/>
    <x:col min="15" max="15" width="34" hidden="0" customWidth="1"/>
    <x:col min="16" max="16" width="28" hidden="0" customWidth="1"/>
    <x:col min="17" max="17" width="18" hidden="0" customWidth="1"/>
    <x:col min="18" max="18" width="22" hidden="0" customWidth="1"/>
  </x:cols>
  <x:sheetData>
    <x:row r="1" ht="28" customHeight="1">
      <x:c r="A1" s="3" t="str">
        <x:v>Clearance Claims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One row per impurity, product-variant, viral, recovery, or lifecycle claim; do not collapse unlike claims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55" t="str">
        <x:v>Claim ID</x:v>
      </x:c>
      <x:c r="B5" s="56" t="str">
        <x:v>Claim family</x:v>
      </x:c>
      <x:c r="C5" s="56" t="str">
        <x:v>Target IDs</x:v>
      </x:c>
      <x:c r="D5" s="56" t="str">
        <x:v>Contributing step IDs</x:v>
      </x:c>
      <x:c r="E5" s="56" t="str">
        <x:v>Claim statement / mechanism</x:v>
      </x:c>
      <x:c r="F5" s="56" t="str">
        <x:v>Product / process scope</x:v>
      </x:c>
      <x:c r="G5" s="56" t="str">
        <x:v>Study / model scope</x:v>
      </x:c>
      <x:c r="H5" s="56" t="str">
        <x:v>Analytical / measurement basis</x:v>
      </x:c>
      <x:c r="I5" s="56" t="str">
        <x:v>Evidence strength</x:v>
      </x:c>
      <x:c r="J5" s="56" t="str">
        <x:v>Robustness / challenge basis</x:v>
      </x:c>
      <x:c r="K5" s="56" t="str">
        <x:v>Independence / combination rationale</x:v>
      </x:c>
      <x:c r="L5" s="56" t="str">
        <x:v>Evidence IDs</x:v>
      </x:c>
      <x:c r="M5" s="56" t="str">
        <x:v>Controlled conclusion / criterion reference</x:v>
      </x:c>
      <x:c r="N5" s="56" t="str">
        <x:v>Lifecycle trigger</x:v>
      </x:c>
      <x:c r="O5" s="56" t="str">
        <x:v>Limitations / contradictory evidence</x:v>
      </x:c>
      <x:c r="P5" s="56" t="str">
        <x:v>Reviewer roles</x:v>
      </x:c>
      <x:c r="Q5" s="56" t="str">
        <x:v>Review status</x:v>
      </x:c>
      <x:c r="R5" s="57" t="str">
        <x:v>Attention</x:v>
      </x:c>
    </x:row>
    <x:row r="6">
      <x:c r="A6" s="68" t="str">
        <x:v>CLM-001</x:v>
      </x:c>
      <x:c r="B6" s="68" t="str">
        <x:v>Process-related impurity clearance</x:v>
      </x:c>
      <x:c r="C6" s="68" t="str">
        <x:v>TGT-003</x:v>
      </x:c>
      <x:c r="D6" s="68" t="str">
        <x:v>STEP-001; STEP-002; STEP-004</x:v>
      </x:c>
      <x:c r="E6" s="68" t="str">
        <x:v>The defined train contributes to HCP control, but increased incoming load and proposed resin changes leave the current robustness claim unresolved.</x:v>
      </x:c>
      <x:c r="F6" s="68" t="str">
        <x:v>FIC-MAB-02, DSP-07, current and proposed capture lifecycle scope</x:v>
      </x:c>
      <x:c r="G6" s="68" t="str">
        <x:v>Existing process characterization plus limited manufacturing trend; new-resin/lifetime bridge not complete</x:v>
      </x:c>
      <x:c r="H6" s="68" t="str">
        <x:v>Qualified HCP method with method-coverage review open</x:v>
      </x:c>
      <x:c r="I6" s="68" t="str">
        <x:v>Contradictory or unresolved</x:v>
      </x:c>
      <x:c r="J6" s="68" t="str">
        <x:v>Representative high-load and lifecycle challenge evidence required</x:v>
      </x:c>
      <x:c r="K6" s="68" t="str">
        <x:v>Step contributions are linked; no assumption that reductions are independent or additive</x:v>
      </x:c>
      <x:c r="L6" s="68" t="str">
        <x:v>EVD-005; EVD-006; EVD-007; EVD-008</x:v>
      </x:c>
      <x:c r="M6" s="68" t="str">
        <x:v>Controlled change-assessment conclusion pending</x:v>
      </x:c>
      <x:c r="N6" s="68" t="str">
        <x:v>Incoming load, method, resin, lifetime, cleaning, scale, or trend change</x:v>
      </x:c>
      <x:c r="O6" s="68" t="str">
        <x:v>Higher incoming load and material change are confounded; current final conformance does not resolve capacity.</x:v>
      </x:c>
      <x:c r="P6" s="68" t="str">
        <x:v>Downstream MSAT; Analytical development; Quality</x:v>
      </x:c>
      <x:c r="Q6" s="68" t="str">
        <x:v>In review</x:v>
      </x:c>
      <x:c r="R6" s="74" t="str">
        <x:f>IF(A6="","",IF(OR(B6="",C6="",D6="",E6="",F6="",G6="",H6="",I6="",J6="",K6="",L6="",M6="",N6="",O6="",P6="",Q6=""),"Incomplete",IF(OR(G6="Evidence required",M6="Evidence required"),"Evidence required",IF(OR(I6="Hypothesis",I6="Observed association",I6="Contradictory or unresolved",Q6&lt;&gt;"Reviewed"),"Review required","Ready for qualified review"))))</x:f>
        <x:v>Review required</x:v>
      </x:c>
    </x:row>
    <x:row r="7">
      <x:c r="A7" s="69" t="str">
        <x:v>CLM-002</x:v>
      </x:c>
      <x:c r="B7" s="69" t="str">
        <x:v>Process-related impurity clearance</x:v>
      </x:c>
      <x:c r="C7" s="69" t="str">
        <x:v>TGT-004</x:v>
      </x:c>
      <x:c r="D7" s="69" t="str">
        <x:v>STEP-001; STEP-002; STEP-004</x:v>
      </x:c>
      <x:c r="E7" s="69" t="str">
        <x:v>Defined downstream steps contribute to residual-DNA control within the studied process scope.</x:v>
      </x:c>
      <x:c r="F7" s="69" t="str">
        <x:v>FIC-MAB-02, DSP-07, existing process and current materials</x:v>
      </x:c>
      <x:c r="G7" s="69" t="str">
        <x:v>Controlled process-characterization scope; no proposed resin equivalence conclusion</x:v>
      </x:c>
      <x:c r="H7" s="69" t="str">
        <x:v>Qualified residual-DNA method and controlled study records</x:v>
      </x:c>
      <x:c r="I7" s="69" t="str">
        <x:v>Designed-study support</x:v>
      </x:c>
      <x:c r="J7" s="69" t="str">
        <x:v>Existing load and process challenge basis in controlled records</x:v>
      </x:c>
      <x:c r="K7" s="69" t="str">
        <x:v>Contributions are interpreted through the approved process strategy, not multiplied or generalized</x:v>
      </x:c>
      <x:c r="L7" s="69" t="str">
        <x:v>EVD-005; EVD-006</x:v>
      </x:c>
      <x:c r="M7" s="69" t="str">
        <x:v>Approved impurity-control reference</x:v>
      </x:c>
      <x:c r="N7" s="69" t="str">
        <x:v>Harvest, lysis, clarification, method, resin, load, or process change</x:v>
      </x:c>
      <x:c r="O7" s="69" t="str">
        <x:v>The proposed material/reuse change still requires impact review.</x:v>
      </x:c>
      <x:c r="P7" s="69" t="str">
        <x:v>Downstream process development; Analytical development</x:v>
      </x:c>
      <x:c r="Q7" s="69" t="str">
        <x:v>Reviewed</x:v>
      </x:c>
      <x:c r="R7" s="75" t="str">
        <x:f>IF(A7="","",IF(OR(B7="",C7="",D7="",E7="",F7="",G7="",H7="",I7="",J7="",K7="",L7="",M7="",N7="",O7="",P7="",Q7=""),"Incomplete",IF(OR(G7="Evidence required",M7="Evidence required"),"Evidence required",IF(OR(I7="Hypothesis",I7="Observed association",I7="Contradictory or unresolved",Q7&lt;&gt;"Reviewed"),"Review required","Ready for qualified review"))))</x:f>
        <x:v>Ready for qualified review</x:v>
      </x:c>
    </x:row>
    <x:row r="8">
      <x:c r="A8" s="69" t="str">
        <x:v>CLM-003</x:v>
      </x:c>
      <x:c r="B8" s="69" t="str">
        <x:v>Lifecycle / reuse control</x:v>
      </x:c>
      <x:c r="C8" s="69" t="str">
        <x:v>TGT-005</x:v>
      </x:c>
      <x:c r="D8" s="69" t="str">
        <x:v>STEP-002</x:v>
      </x:c>
      <x:c r="E8" s="69" t="str">
        <x:v>Residual capture-ligand control may depend on resin identity, cycle, cleaning, storage, and analytical coverage.</x:v>
      </x:c>
      <x:c r="F8" s="69" t="str">
        <x:v>FIC-MAB-02 capture operation and proposed supply/reuse change</x:v>
      </x:c>
      <x:c r="G8" s="69" t="str">
        <x:v>Existing-resin lifecycle evidence only; proposed material and use scope not demonstrated</x:v>
      </x:c>
      <x:c r="H8" s="69" t="str">
        <x:v>Qualified residual-ligand method; proposed-material coverage review open</x:v>
      </x:c>
      <x:c r="I8" s="69" t="str">
        <x:v>Observed association</x:v>
      </x:c>
      <x:c r="J8" s="69" t="str">
        <x:v>Representative proposed-resin lifecycle and cleaning evidence required</x:v>
      </x:c>
      <x:c r="K8" s="69" t="str">
        <x:v>Single-step material-derived impurity claim; no cross-step numerical combination</x:v>
      </x:c>
      <x:c r="L8" s="69" t="str">
        <x:v>EVD-006; EVD-008</x:v>
      </x:c>
      <x:c r="M8" s="69" t="str">
        <x:v>Controlled change-assessment conclusion pending</x:v>
      </x:c>
      <x:c r="N8" s="69" t="str">
        <x:v>Resin, supplier, lot, reuse, cleaning, storage, method, or lifecycle extension</x:v>
      </x:c>
      <x:c r="O8" s="69" t="str">
        <x:v>Material equivalence, method coverage, and proposed end-of-use evidence remain open.</x:v>
      </x:c>
      <x:c r="P8" s="69" t="str">
        <x:v>Downstream process development; Analytical development; Quality</x:v>
      </x:c>
      <x:c r="Q8" s="69" t="str">
        <x:v>In review</x:v>
      </x:c>
      <x:c r="R8" s="75" t="str">
        <x:f>IF(A8="","",IF(OR(B8="",C8="",D8="",E8="",F8="",G8="",H8="",I8="",J8="",K8="",L8="",M8="",N8="",O8="",P8="",Q8=""),"Incomplete",IF(OR(G8="Evidence required",M8="Evidence required"),"Evidence required",IF(OR(I8="Hypothesis",I8="Observed association",I8="Contradictory or unresolved",Q8&lt;&gt;"Reviewed"),"Review required","Ready for qualified review"))))</x:f>
        <x:v>Review required</x:v>
      </x:c>
    </x:row>
    <x:row r="9">
      <x:c r="A9" s="69" t="str">
        <x:v>CLM-004</x:v>
      </x:c>
      <x:c r="B9" s="69" t="str">
        <x:v>Product-related variant control</x:v>
      </x:c>
      <x:c r="C9" s="69" t="str">
        <x:v>TGT-002</x:v>
      </x:c>
      <x:c r="D9" s="69" t="str">
        <x:v>STEP-002; STEP-003; STEP-004; STEP-006</x:v>
      </x:c>
      <x:c r="E9" s="69" t="str">
        <x:v>The downstream train influences aggregate and variant profiles through separation and formation pathways within the defined process.</x:v>
      </x:c>
      <x:c r="F9" s="69" t="str">
        <x:v>FIC-MAB-02, DSP-07, current process; proposed capture lifecycle under review</x:v>
      </x:c>
      <x:c r="G9" s="69" t="str">
        <x:v>Existing characterization plus limited cycle/trend data</x:v>
      </x:c>
      <x:c r="H9" s="69" t="str">
        <x:v>Orthogonal size/particle and selected variant methods</x:v>
      </x:c>
      <x:c r="I9" s="69" t="str">
        <x:v>Observed association</x:v>
      </x:c>
      <x:c r="J9" s="69" t="str">
        <x:v>Representative cycles, holds, interfaces, and concentration conditions require review</x:v>
      </x:c>
      <x:c r="K9" s="69" t="str">
        <x:v>Formation and removal contributions differ and are not expressed as one clearance factor</x:v>
      </x:c>
      <x:c r="L9" s="69" t="str">
        <x:v>EVD-004; EVD-005; EVD-006; EVD-008</x:v>
      </x:c>
      <x:c r="M9" s="69" t="str">
        <x:v>Approved product-control reference; change assessment open</x:v>
      </x:c>
      <x:c r="N9" s="69" t="str">
        <x:v>Resin, process, hold, scale, concentration, method, or product trend change</x:v>
      </x:c>
      <x:c r="O9" s="69" t="str">
        <x:v>Current release results do not exclude shifts outside the routine method panel.</x:v>
      </x:c>
      <x:c r="P9" s="69" t="str">
        <x:v>Product quality; Analytical development; Downstream MSAT</x:v>
      </x:c>
      <x:c r="Q9" s="69" t="str">
        <x:v>In review</x:v>
      </x:c>
      <x:c r="R9" s="75" t="str">
        <x:f>IF(A9="","",IF(OR(B9="",C9="",D9="",E9="",F9="",G9="",H9="",I9="",J9="",K9="",L9="",M9="",N9="",O9="",P9="",Q9=""),"Incomplete",IF(OR(G9="Evidence required",M9="Evidence required"),"Evidence required",IF(OR(I9="Hypothesis",I9="Observed association",I9="Contradictory or unresolved",Q9&lt;&gt;"Reviewed"),"Review required","Ready for qualified review"))))</x:f>
        <x:v>Review required</x:v>
      </x:c>
    </x:row>
    <x:row r="10">
      <x:c r="A10" s="69" t="str">
        <x:v>CLM-005</x:v>
      </x:c>
      <x:c r="B10" s="69" t="str">
        <x:v>Viral inactivation</x:v>
      </x:c>
      <x:c r="C10" s="69" t="str">
        <x:v>TGT-006</x:v>
      </x:c>
      <x:c r="D10" s="69" t="str">
        <x:v>STEP-003</x:v>
      </x:c>
      <x:c r="E10" s="69" t="str">
        <x:v>The defined low-pH step contributes to the approved viral-safety strategy within the controlled study and process scope.</x:v>
      </x:c>
      <x:c r="F10" s="69" t="str">
        <x:v>FIC-MAB-02, DSP-07, current capture-pool and treatment scope</x:v>
      </x:c>
      <x:c r="G10" s="69" t="str">
        <x:v>Controlled representative viral-clearance scale-down model and report; proposed upstream material impact not yet reviewed</x:v>
      </x:c>
      <x:c r="H10" s="69" t="str">
        <x:v>Controlled virology methods and study report</x:v>
      </x:c>
      <x:c r="I10" s="69" t="str">
        <x:v>Designed-study support</x:v>
      </x:c>
      <x:c r="J10" s="69" t="str">
        <x:v>Controlled robustness/challenge conditions; no values reproduced here</x:v>
      </x:c>
      <x:c r="K10" s="69" t="str">
        <x:v>Mechanistically assessed separately from filtration; combined conclusion remains in the controlled strategy</x:v>
      </x:c>
      <x:c r="L10" s="69" t="str">
        <x:v>EVD-003; EVD-009</x:v>
      </x:c>
      <x:c r="M10" s="69" t="str">
        <x:v>Controlled viral-safety report reference required</x:v>
      </x:c>
      <x:c r="N10" s="69" t="str">
        <x:v>Pool composition, resin, scale, mixing, time, temperature, pH, method, or process change</x:v>
      </x:c>
      <x:c r="O10" s="69" t="str">
        <x:v>Direct and indirect effect of proposed capture change requires qualified viral-safety review.</x:v>
      </x:c>
      <x:c r="P10" s="69" t="str">
        <x:v>Viral safety; Downstream MSAT; Regulatory CMC</x:v>
      </x:c>
      <x:c r="Q10" s="69" t="str">
        <x:v>In review</x:v>
      </x:c>
      <x:c r="R10" s="75" t="str">
        <x:f>IF(A10="","",IF(OR(B10="",C10="",D10="",E10="",F10="",G10="",H10="",I10="",J10="",K10="",L10="",M10="",N10="",O10="",P10="",Q10=""),"Incomplete",IF(OR(G10="Evidence required",M10="Evidence required"),"Evidence required",IF(OR(I10="Hypothesis",I10="Observed association",I10="Contradictory or unresolved",Q10&lt;&gt;"Reviewed"),"Review required","Ready for qualified review"))))</x:f>
        <x:v>Review required</x:v>
      </x:c>
    </x:row>
    <x:row r="11">
      <x:c r="A11" s="69" t="str">
        <x:v>CLM-006</x:v>
      </x:c>
      <x:c r="B11" s="69" t="str">
        <x:v>Viral removal</x:v>
      </x:c>
      <x:c r="C11" s="69" t="str">
        <x:v>TGT-006</x:v>
      </x:c>
      <x:c r="D11" s="69" t="str">
        <x:v>STEP-005</x:v>
      </x:c>
      <x:c r="E11" s="69" t="str">
        <x:v>The defined virus-filtration step contributes to the approved viral-safety strategy within its controlled load, filter, intermediate, and study scope.</x:v>
      </x:c>
      <x:c r="F11" s="69" t="str">
        <x:v>FIC-MAB-02, DSP-07, current filter and process scope</x:v>
      </x:c>
      <x:c r="G11" s="69" t="str">
        <x:v>Controlled representative viral-clearance scale-down model and report</x:v>
      </x:c>
      <x:c r="H11" s="69" t="str">
        <x:v>Controlled virology methods, filter controls, and study report</x:v>
      </x:c>
      <x:c r="I11" s="69" t="str">
        <x:v>Designed-study support</x:v>
      </x:c>
      <x:c r="J11" s="69" t="str">
        <x:v>Controlled load, process, interruption, and integrity challenge basis; no values reproduced</x:v>
      </x:c>
      <x:c r="K11" s="69" t="str">
        <x:v>Mechanism is considered separately from inactivation; combination remains a qualified controlled conclusion</x:v>
      </x:c>
      <x:c r="L11" s="69" t="str">
        <x:v>EVD-003; EVD-009</x:v>
      </x:c>
      <x:c r="M11" s="69" t="str">
        <x:v>Controlled viral-safety report reference required</x:v>
      </x:c>
      <x:c r="N11" s="69" t="str">
        <x:v>Filter, supplier, load, intermediate, interruption, integrity, scale, or upstream/downstream process change</x:v>
      </x:c>
      <x:c r="O11" s="69" t="str">
        <x:v>Applicability after the proposed capture change remains a documented impact question.</x:v>
      </x:c>
      <x:c r="P11" s="69" t="str">
        <x:v>Viral safety; Downstream MSAT; Regulatory CMC</x:v>
      </x:c>
      <x:c r="Q11" s="69" t="str">
        <x:v>In review</x:v>
      </x:c>
      <x:c r="R11" s="75" t="str">
        <x:f>IF(A11="","",IF(OR(B11="",C11="",D11="",E11="",F11="",G11="",H11="",I11="",J11="",K11="",L11="",M11="",N11="",O11="",P11="",Q11=""),"Incomplete",IF(OR(G11="Evidence required",M11="Evidence required"),"Evidence required",IF(OR(I11="Hypothesis",I11="Observed association",I11="Contradictory or unresolved",Q11&lt;&gt;"Reviewed"),"Review required","Ready for qualified review"))))</x:f>
        <x:v>Review required</x:v>
      </x:c>
    </x:row>
    <x:row r="12">
      <x:c r="A12" s="69" t="str">
        <x:v>CLM-007</x:v>
      </x:c>
      <x:c r="B12" s="69" t="str">
        <x:v>Recovery / process performance</x:v>
      </x:c>
      <x:c r="C12" s="69" t="str">
        <x:v>TGT-001; TGT-007</x:v>
      </x:c>
      <x:c r="D12" s="69" t="str">
        <x:v>STEP-001; STEP-002; STEP-003; STEP-004; STEP-005; STEP-006</x:v>
      </x:c>
      <x:c r="E12" s="69" t="str">
        <x:v>Mass-balance and process-performance evidence support current recovery monitoring without proving impurity or viral clearance.</x:v>
      </x:c>
      <x:c r="F12" s="69" t="str">
        <x:v>FIC-MAB-02, DSP-07, current process and scale</x:v>
      </x:c>
      <x:c r="G12" s="69" t="str">
        <x:v>Current process characterization and continued-verification records</x:v>
      </x:c>
      <x:c r="H12" s="69" t="str">
        <x:v>Qualified concentration method and controlled mass-balance calculations</x:v>
      </x:c>
      <x:c r="I12" s="69" t="str">
        <x:v>Multi-source support</x:v>
      </x:c>
      <x:c r="J12" s="69" t="str">
        <x:v>Defined process and lifecycle monitoring in controlled records</x:v>
      </x:c>
      <x:c r="K12" s="69" t="str">
        <x:v>Step recovery is reconciled through the controlled mass balance; it is not a clearance-factor calculation</x:v>
      </x:c>
      <x:c r="L12" s="69" t="str">
        <x:v>EVD-005; EVD-006; EVD-007</x:v>
      </x:c>
      <x:c r="M12" s="69" t="str">
        <x:v>Approved process-performance reference</x:v>
      </x:c>
      <x:c r="N12" s="69" t="str">
        <x:v>Load, material, equipment, scale, hold, method, process, or recovery trend change</x:v>
      </x:c>
      <x:c r="O12" s="69" t="str">
        <x:v>Proposed resin change may affect recovery and requires change assessment.</x:v>
      </x:c>
      <x:c r="P12" s="69" t="str">
        <x:v>Downstream MSAT; Manufacturing; Quality</x:v>
      </x:c>
      <x:c r="Q12" s="69" t="str">
        <x:v>Reviewed</x:v>
      </x:c>
      <x:c r="R12" s="75" t="str">
        <x:f>IF(A12="","",IF(OR(B12="",C12="",D12="",E12="",F12="",G12="",H12="",I12="",J12="",K12="",L12="",M12="",N12="",O12="",P12="",Q12=""),"Incomplete",IF(OR(G12="Evidence required",M12="Evidence required"),"Evidence required",IF(OR(I12="Hypothesis",I12="Observed association",I12="Contradictory or unresolved",Q12&lt;&gt;"Reviewed"),"Review required","Ready for qualified review"))))</x:f>
        <x:v>Ready for qualified review</x:v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75" t="str">
        <x:f>IF(A13="","",IF(OR(B13="",C13="",D13="",E13="",F13="",G13="",H13="",I13="",J13="",K13="",L13="",M13="",N13="",O13="",P13="",Q13=""),"Incomplete",IF(OR(G13="Evidence required",M13="Evidence required"),"Evidence required",IF(OR(I13="Hypothesis",I13="Observed association",I13="Contradictory or unresolved",Q13&lt;&gt;"Reviewed"),"Review required","Ready for qualified review"))))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75" t="str">
        <x:f>IF(A14="","",IF(OR(B14="",C14="",D14="",E14="",F14="",G14="",H14="",I14="",J14="",K14="",L14="",M14="",N14="",O14="",P14="",Q14=""),"Incomplete",IF(OR(G14="Evidence required",M14="Evidence required"),"Evidence required",IF(OR(I14="Hypothesis",I14="Observed association",I14="Contradictory or unresolved",Q14&lt;&gt;"Reviewed"),"Review required","Ready for qualified review"))))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75" t="str">
        <x:f>IF(A15="","",IF(OR(B15="",C15="",D15="",E15="",F15="",G15="",H15="",I15="",J15="",K15="",L15="",M15="",N15="",O15="",P15="",Q15=""),"Incomplete",IF(OR(G15="Evidence required",M15="Evidence required"),"Evidence required",IF(OR(I15="Hypothesis",I15="Observed association",I15="Contradictory or unresolved",Q15&lt;&gt;"Reviewed"),"Review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75" t="str">
        <x:f>IF(A16="","",IF(OR(B16="",C16="",D16="",E16="",F16="",G16="",H16="",I16="",J16="",K16="",L16="",M16="",N16="",O16="",P16="",Q16=""),"Incomplete",IF(OR(G16="Evidence required",M16="Evidence required"),"Evidence required",IF(OR(I16="Hypothesis",I16="Observed association",I16="Contradictory or unresolved",Q16&lt;&gt;"Reviewed"),"Review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75" t="str">
        <x:f>IF(A17="","",IF(OR(B17="",C17="",D17="",E17="",F17="",G17="",H17="",I17="",J17="",K17="",L17="",M17="",N17="",O17="",P17="",Q17=""),"Incomplete",IF(OR(G17="Evidence required",M17="Evidence required"),"Evidence required",IF(OR(I17="Hypothesis",I17="Observed association",I17="Contradictory or unresolved",Q17&lt;&gt;"Reviewed"),"Review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75" t="str">
        <x:f>IF(A18="","",IF(OR(B18="",C18="",D18="",E18="",F18="",G18="",H18="",I18="",J18="",K18="",L18="",M18="",N18="",O18="",P18="",Q18=""),"Incomplete",IF(OR(G18="Evidence required",M18="Evidence required"),"Evidence required",IF(OR(I18="Hypothesis",I18="Observed association",I18="Contradictory or unresolved",Q18&lt;&gt;"Reviewed"),"Review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75" t="str">
        <x:f>IF(A19="","",IF(OR(B19="",C19="",D19="",E19="",F19="",G19="",H19="",I19="",J19="",K19="",L19="",M19="",N19="",O19="",P19="",Q19=""),"Incomplete",IF(OR(G19="Evidence required",M19="Evidence required"),"Evidence required",IF(OR(I19="Hypothesis",I19="Observed association",I19="Contradictory or unresolved",Q19&lt;&gt;"Reviewed"),"Review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75" t="str">
        <x:f>IF(A20="","",IF(OR(B20="",C20="",D20="",E20="",F20="",G20="",H20="",I20="",J20="",K20="",L20="",M20="",N20="",O20="",P20="",Q20=""),"Incomplete",IF(OR(G20="Evidence required",M20="Evidence required"),"Evidence required",IF(OR(I20="Hypothesis",I20="Observed association",I20="Contradictory or unresolved",Q20&lt;&gt;"Reviewed"),"Review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75" t="str">
        <x:f>IF(A21="","",IF(OR(B21="",C21="",D21="",E21="",F21="",G21="",H21="",I21="",J21="",K21="",L21="",M21="",N21="",O21="",P21="",Q21=""),"Incomplete",IF(OR(G21="Evidence required",M21="Evidence required"),"Evidence required",IF(OR(I21="Hypothesis",I21="Observed association",I21="Contradictory or unresolved",Q21&lt;&gt;"Reviewed"),"Review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75" t="str">
        <x:f>IF(A22="","",IF(OR(B22="",C22="",D22="",E22="",F22="",G22="",H22="",I22="",J22="",K22="",L22="",M22="",N22="",O22="",P22="",Q22=""),"Incomplete",IF(OR(G22="Evidence required",M22="Evidence required"),"Evidence required",IF(OR(I22="Hypothesis",I22="Observed association",I22="Contradictory or unresolved",Q22&lt;&gt;"Reviewed"),"Review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75" t="str">
        <x:f>IF(A23="","",IF(OR(B23="",C23="",D23="",E23="",F23="",G23="",H23="",I23="",J23="",K23="",L23="",M23="",N23="",O23="",P23="",Q23=""),"Incomplete",IF(OR(G23="Evidence required",M23="Evidence required"),"Evidence required",IF(OR(I23="Hypothesis",I23="Observed association",I23="Contradictory or unresolved",Q23&lt;&gt;"Reviewed"),"Review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75" t="str">
        <x:f>IF(A24="","",IF(OR(B24="",C24="",D24="",E24="",F24="",G24="",H24="",I24="",J24="",K24="",L24="",M24="",N24="",O24="",P24="",Q24=""),"Incomplete",IF(OR(G24="Evidence required",M24="Evidence required"),"Evidence required",IF(OR(I24="Hypothesis",I24="Observed association",I24="Contradictory or unresolved",Q24&lt;&gt;"Reviewed"),"Review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75" t="str">
        <x:f>IF(A25="","",IF(OR(B25="",C25="",D25="",E25="",F25="",G25="",H25="",I25="",J25="",K25="",L25="",M25="",N25="",O25="",P25="",Q25=""),"Incomplete",IF(OR(G25="Evidence required",M25="Evidence required"),"Evidence required",IF(OR(I25="Hypothesis",I25="Observed association",I25="Contradictory or unresolved",Q25&lt;&gt;"Reviewed"),"Review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75" t="str">
        <x:f>IF(A26="","",IF(OR(B26="",C26="",D26="",E26="",F26="",G26="",H26="",I26="",J26="",K26="",L26="",M26="",N26="",O26="",P26="",Q26=""),"Incomplete",IF(OR(G26="Evidence required",M26="Evidence required"),"Evidence required",IF(OR(I26="Hypothesis",I26="Observed association",I26="Contradictory or unresolved",Q26&lt;&gt;"Reviewed"),"Review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75" t="str">
        <x:f>IF(A27="","",IF(OR(B27="",C27="",D27="",E27="",F27="",G27="",H27="",I27="",J27="",K27="",L27="",M27="",N27="",O27="",P27="",Q27=""),"Incomplete",IF(OR(G27="Evidence required",M27="Evidence required"),"Evidence required",IF(OR(I27="Hypothesis",I27="Observed association",I27="Contradictory or unresolved",Q27&lt;&gt;"Reviewed"),"Review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75" t="str">
        <x:f>IF(A28="","",IF(OR(B28="",C28="",D28="",E28="",F28="",G28="",H28="",I28="",J28="",K28="",L28="",M28="",N28="",O28="",P28="",Q28=""),"Incomplete",IF(OR(G28="Evidence required",M28="Evidence required"),"Evidence required",IF(OR(I28="Hypothesis",I28="Observed association",I28="Contradictory or unresolved",Q28&lt;&gt;"Reviewed"),"Review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75" t="str">
        <x:f>IF(A29="","",IF(OR(B29="",C29="",D29="",E29="",F29="",G29="",H29="",I29="",J29="",K29="",L29="",M29="",N29="",O29="",P29="",Q29=""),"Incomplete",IF(OR(G29="Evidence required",M29="Evidence required"),"Evidence required",IF(OR(I29="Hypothesis",I29="Observed association",I29="Contradictory or unresolved",Q29&lt;&gt;"Reviewed"),"Review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75" t="str">
        <x:f>IF(A30="","",IF(OR(B30="",C30="",D30="",E30="",F30="",G30="",H30="",I30="",J30="",K30="",L30="",M30="",N30="",O30="",P30="",Q30=""),"Incomplete",IF(OR(G30="Evidence required",M30="Evidence required"),"Evidence required",IF(OR(I30="Hypothesis",I30="Observed association",I30="Contradictory or unresolved",Q30&lt;&gt;"Reviewed"),"Review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75" t="str">
        <x:f>IF(A31="","",IF(OR(B31="",C31="",D31="",E31="",F31="",G31="",H31="",I31="",J31="",K31="",L31="",M31="",N31="",O31="",P31="",Q31=""),"Incomplete",IF(OR(G31="Evidence required",M31="Evidence required"),"Evidence required",IF(OR(I31="Hypothesis",I31="Observed association",I31="Contradictory or unresolved",Q31&lt;&gt;"Reviewed"),"Review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75" t="str">
        <x:f>IF(A32="","",IF(OR(B32="",C32="",D32="",E32="",F32="",G32="",H32="",I32="",J32="",K32="",L32="",M32="",N32="",O32="",P32="",Q32=""),"Incomplete",IF(OR(G32="Evidence required",M32="Evidence required"),"Evidence required",IF(OR(I32="Hypothesis",I32="Observed association",I32="Contradictory or unresolved",Q32&lt;&gt;"Reviewed"),"Review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75" t="str">
        <x:f>IF(A33="","",IF(OR(B33="",C33="",D33="",E33="",F33="",G33="",H33="",I33="",J33="",K33="",L33="",M33="",N33="",O33="",P33="",Q33=""),"Incomplete",IF(OR(G33="Evidence required",M33="Evidence required"),"Evidence required",IF(OR(I33="Hypothesis",I33="Observed association",I33="Contradictory or unresolved",Q33&lt;&gt;"Reviewed"),"Review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75" t="str">
        <x:f>IF(A34="","",IF(OR(B34="",C34="",D34="",E34="",F34="",G34="",H34="",I34="",J34="",K34="",L34="",M34="",N34="",O34="",P34="",Q34=""),"Incomplete",IF(OR(G34="Evidence required",M34="Evidence required"),"Evidence required",IF(OR(I34="Hypothesis",I34="Observed association",I34="Contradictory or unresolved",Q34&lt;&gt;"Reviewed"),"Review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75" t="str">
        <x:f>IF(A35="","",IF(OR(B35="",C35="",D35="",E35="",F35="",G35="",H35="",I35="",J35="",K35="",L35="",M35="",N35="",O35="",P35="",Q35=""),"Incomplete",IF(OR(G35="Evidence required",M35="Evidence required"),"Evidence required",IF(OR(I35="Hypothesis",I35="Observed association",I35="Contradictory or unresolved",Q35&lt;&gt;"Reviewed"),"Review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75" t="str">
        <x:f>IF(A36="","",IF(OR(B36="",C36="",D36="",E36="",F36="",G36="",H36="",I36="",J36="",K36="",L36="",M36="",N36="",O36="",P36="",Q36=""),"Incomplete",IF(OR(G36="Evidence required",M36="Evidence required"),"Evidence required",IF(OR(I36="Hypothesis",I36="Observed association",I36="Contradictory or unresolved",Q36&lt;&gt;"Reviewed"),"Review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75" t="str">
        <x:f>IF(A37="","",IF(OR(B37="",C37="",D37="",E37="",F37="",G37="",H37="",I37="",J37="",K37="",L37="",M37="",N37="",O37="",P37="",Q37=""),"Incomplete",IF(OR(G37="Evidence required",M37="Evidence required"),"Evidence required",IF(OR(I37="Hypothesis",I37="Observed association",I37="Contradictory or unresolved",Q37&lt;&gt;"Reviewed"),"Review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75" t="str">
        <x:f>IF(A38="","",IF(OR(B38="",C38="",D38="",E38="",F38="",G38="",H38="",I38="",J38="",K38="",L38="",M38="",N38="",O38="",P38="",Q38=""),"Incomplete",IF(OR(G38="Evidence required",M38="Evidence required"),"Evidence required",IF(OR(I38="Hypothesis",I38="Observed association",I38="Contradictory or unresolved",Q38&lt;&gt;"Reviewed"),"Review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75" t="str">
        <x:f>IF(A39="","",IF(OR(B39="",C39="",D39="",E39="",F39="",G39="",H39="",I39="",J39="",K39="",L39="",M39="",N39="",O39="",P39="",Q39=""),"Incomplete",IF(OR(G39="Evidence required",M39="Evidence required"),"Evidence required",IF(OR(I39="Hypothesis",I39="Observed association",I39="Contradictory or unresolved",Q39&lt;&gt;"Reviewed"),"Review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75" t="str">
        <x:f>IF(A40="","",IF(OR(B40="",C40="",D40="",E40="",F40="",G40="",H40="",I40="",J40="",K40="",L40="",M40="",N40="",O40="",P40="",Q40=""),"Incomplete",IF(OR(G40="Evidence required",M40="Evidence required"),"Evidence required",IF(OR(I40="Hypothesis",I40="Observed association",I40="Contradictory or unresolved",Q40&lt;&gt;"Reviewed"),"Review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75" t="str">
        <x:f>IF(A41="","",IF(OR(B41="",C41="",D41="",E41="",F41="",G41="",H41="",I41="",J41="",K41="",L41="",M41="",N41="",O41="",P41="",Q41=""),"Incomplete",IF(OR(G41="Evidence required",M41="Evidence required"),"Evidence required",IF(OR(I41="Hypothesis",I41="Observed association",I41="Contradictory or unresolved",Q41&lt;&gt;"Reviewed"),"Review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75" t="str">
        <x:f>IF(A42="","",IF(OR(B42="",C42="",D42="",E42="",F42="",G42="",H42="",I42="",J42="",K42="",L42="",M42="",N42="",O42="",P42="",Q42=""),"Incomplete",IF(OR(G42="Evidence required",M42="Evidence required"),"Evidence required",IF(OR(I42="Hypothesis",I42="Observed association",I42="Contradictory or unresolved",Q42&lt;&gt;"Reviewed"),"Review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75" t="str">
        <x:f>IF(A43="","",IF(OR(B43="",C43="",D43="",E43="",F43="",G43="",H43="",I43="",J43="",K43="",L43="",M43="",N43="",O43="",P43="",Q43=""),"Incomplete",IF(OR(G43="Evidence required",M43="Evidence required"),"Evidence required",IF(OR(I43="Hypothesis",I43="Observed association",I43="Contradictory or unresolved",Q43&lt;&gt;"Reviewed"),"Review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75" t="str">
        <x:f>IF(A44="","",IF(OR(B44="",C44="",D44="",E44="",F44="",G44="",H44="",I44="",J44="",K44="",L44="",M44="",N44="",O44="",P44="",Q44=""),"Incomplete",IF(OR(G44="Evidence required",M44="Evidence required"),"Evidence required",IF(OR(I44="Hypothesis",I44="Observed association",I44="Contradictory or unresolved",Q44&lt;&gt;"Reviewed"),"Review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75" t="str">
        <x:f>IF(A45="","",IF(OR(B45="",C45="",D45="",E45="",F45="",G45="",H45="",I45="",J45="",K45="",L45="",M45="",N45="",O45="",P45="",Q45=""),"Incomplete",IF(OR(G45="Evidence required",M45="Evidence required"),"Evidence required",IF(OR(I45="Hypothesis",I45="Observed association",I45="Contradictory or unresolved",Q45&lt;&gt;"Reviewed"),"Review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75" t="str">
        <x:f>IF(A46="","",IF(OR(B46="",C46="",D46="",E46="",F46="",G46="",H46="",I46="",J46="",K46="",L46="",M46="",N46="",O46="",P46="",Q46=""),"Incomplete",IF(OR(G46="Evidence required",M46="Evidence required"),"Evidence required",IF(OR(I46="Hypothesis",I46="Observed association",I46="Contradictory or unresolved",Q46&lt;&gt;"Reviewed"),"Review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75" t="str">
        <x:f>IF(A47="","",IF(OR(B47="",C47="",D47="",E47="",F47="",G47="",H47="",I47="",J47="",K47="",L47="",M47="",N47="",O47="",P47="",Q47=""),"Incomplete",IF(OR(G47="Evidence required",M47="Evidence required"),"Evidence required",IF(OR(I47="Hypothesis",I47="Observed association",I47="Contradictory or unresolved",Q47&lt;&gt;"Reviewed"),"Review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75" t="str">
        <x:f>IF(A48="","",IF(OR(B48="",C48="",D48="",E48="",F48="",G48="",H48="",I48="",J48="",K48="",L48="",M48="",N48="",O48="",P48="",Q48=""),"Incomplete",IF(OR(G48="Evidence required",M48="Evidence required"),"Evidence required",IF(OR(I48="Hypothesis",I48="Observed association",I48="Contradictory or unresolved",Q48&lt;&gt;"Reviewed"),"Review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75" t="str">
        <x:f>IF(A49="","",IF(OR(B49="",C49="",D49="",E49="",F49="",G49="",H49="",I49="",J49="",K49="",L49="",M49="",N49="",O49="",P49="",Q49=""),"Incomplete",IF(OR(G49="Evidence required",M49="Evidence required"),"Evidence required",IF(OR(I49="Hypothesis",I49="Observed association",I49="Contradictory or unresolved",Q49&lt;&gt;"Reviewed"),"Review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75" t="str">
        <x:f>IF(A50="","",IF(OR(B50="",C50="",D50="",E50="",F50="",G50="",H50="",I50="",J50="",K50="",L50="",M50="",N50="",O50="",P50="",Q50=""),"Incomplete",IF(OR(G50="Evidence required",M50="Evidence required"),"Evidence required",IF(OR(I50="Hypothesis",I50="Observed association",I50="Contradictory or unresolved",Q50&lt;&gt;"Reviewed"),"Review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75" t="str">
        <x:f>IF(A51="","",IF(OR(B51="",C51="",D51="",E51="",F51="",G51="",H51="",I51="",J51="",K51="",L51="",M51="",N51="",O51="",P51="",Q51=""),"Incomplete",IF(OR(G51="Evidence required",M51="Evidence required"),"Evidence required",IF(OR(I51="Hypothesis",I51="Observed association",I51="Contradictory or unresolved",Q51&lt;&gt;"Reviewed"),"Review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75" t="str">
        <x:f>IF(A52="","",IF(OR(B52="",C52="",D52="",E52="",F52="",G52="",H52="",I52="",J52="",K52="",L52="",M52="",N52="",O52="",P52="",Q52=""),"Incomplete",IF(OR(G52="Evidence required",M52="Evidence required"),"Evidence required",IF(OR(I52="Hypothesis",I52="Observed association",I52="Contradictory or unresolved",Q52&lt;&gt;"Reviewed"),"Review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75" t="str">
        <x:f>IF(A53="","",IF(OR(B53="",C53="",D53="",E53="",F53="",G53="",H53="",I53="",J53="",K53="",L53="",M53="",N53="",O53="",P53="",Q53=""),"Incomplete",IF(OR(G53="Evidence required",M53="Evidence required"),"Evidence required",IF(OR(I53="Hypothesis",I53="Observed association",I53="Contradictory or unresolved",Q53&lt;&gt;"Reviewed"),"Review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75" t="str">
        <x:f>IF(A54="","",IF(OR(B54="",C54="",D54="",E54="",F54="",G54="",H54="",I54="",J54="",K54="",L54="",M54="",N54="",O54="",P54="",Q54=""),"Incomplete",IF(OR(G54="Evidence required",M54="Evidence required"),"Evidence required",IF(OR(I54="Hypothesis",I54="Observed association",I54="Contradictory or unresolved",Q54&lt;&gt;"Reviewed"),"Review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75" t="str">
        <x:f>IF(A55="","",IF(OR(B55="",C55="",D55="",E55="",F55="",G55="",H55="",I55="",J55="",K55="",L55="",M55="",N55="",O55="",P55="",Q55=""),"Incomplete",IF(OR(G55="Evidence required",M55="Evidence required"),"Evidence required",IF(OR(I55="Hypothesis",I55="Observed association",I55="Contradictory or unresolved",Q55&lt;&gt;"Reviewed"),"Review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75" t="str">
        <x:f>IF(A56="","",IF(OR(B56="",C56="",D56="",E56="",F56="",G56="",H56="",I56="",J56="",K56="",L56="",M56="",N56="",O56="",P56="",Q56=""),"Incomplete",IF(OR(G56="Evidence required",M56="Evidence required"),"Evidence required",IF(OR(I56="Hypothesis",I56="Observed association",I56="Contradictory or unresolved",Q56&lt;&gt;"Reviewed"),"Review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75" t="str">
        <x:f>IF(A57="","",IF(OR(B57="",C57="",D57="",E57="",F57="",G57="",H57="",I57="",J57="",K57="",L57="",M57="",N57="",O57="",P57="",Q57=""),"Incomplete",IF(OR(G57="Evidence required",M57="Evidence required"),"Evidence required",IF(OR(I57="Hypothesis",I57="Observed association",I57="Contradictory or unresolved",Q57&lt;&gt;"Reviewed"),"Review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75" t="str">
        <x:f>IF(A58="","",IF(OR(B58="",C58="",D58="",E58="",F58="",G58="",H58="",I58="",J58="",K58="",L58="",M58="",N58="",O58="",P58="",Q58=""),"Incomplete",IF(OR(G58="Evidence required",M58="Evidence required"),"Evidence required",IF(OR(I58="Hypothesis",I58="Observed association",I58="Contradictory or unresolved",Q58&lt;&gt;"Reviewed"),"Review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75" t="str">
        <x:f>IF(A59="","",IF(OR(B59="",C59="",D59="",E59="",F59="",G59="",H59="",I59="",J59="",K59="",L59="",M59="",N59="",O59="",P59="",Q59=""),"Incomplete",IF(OR(G59="Evidence required",M59="Evidence required"),"Evidence required",IF(OR(I59="Hypothesis",I59="Observed association",I59="Contradictory or unresolved",Q59&lt;&gt;"Reviewed"),"Review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75" t="str">
        <x:f>IF(A60="","",IF(OR(B60="",C60="",D60="",E60="",F60="",G60="",H60="",I60="",J60="",K60="",L60="",M60="",N60="",O60="",P60="",Q60=""),"Incomplete",IF(OR(G60="Evidence required",M60="Evidence required"),"Evidence required",IF(OR(I60="Hypothesis",I60="Observed association",I60="Contradictory or unresolved",Q60&lt;&gt;"Reviewed"),"Review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75" t="str">
        <x:f>IF(A61="","",IF(OR(B61="",C61="",D61="",E61="",F61="",G61="",H61="",I61="",J61="",K61="",L61="",M61="",N61="",O61="",P61="",Q61=""),"Incomplete",IF(OR(G61="Evidence required",M61="Evidence required"),"Evidence required",IF(OR(I61="Hypothesis",I61="Observed association",I61="Contradictory or unresolved",Q61&lt;&gt;"Reviewed"),"Review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75" t="str">
        <x:f>IF(A62="","",IF(OR(B62="",C62="",D62="",E62="",F62="",G62="",H62="",I62="",J62="",K62="",L62="",M62="",N62="",O62="",P62="",Q62=""),"Incomplete",IF(OR(G62="Evidence required",M62="Evidence required"),"Evidence required",IF(OR(I62="Hypothesis",I62="Observed association",I62="Contradictory or unresolved",Q62&lt;&gt;"Reviewed"),"Review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75" t="str">
        <x:f>IF(A63="","",IF(OR(B63="",C63="",D63="",E63="",F63="",G63="",H63="",I63="",J63="",K63="",L63="",M63="",N63="",O63="",P63="",Q63=""),"Incomplete",IF(OR(G63="Evidence required",M63="Evidence required"),"Evidence required",IF(OR(I63="Hypothesis",I63="Observed association",I63="Contradictory or unresolved",Q63&lt;&gt;"Reviewed"),"Review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75" t="str">
        <x:f>IF(A64="","",IF(OR(B64="",C64="",D64="",E64="",F64="",G64="",H64="",I64="",J64="",K64="",L64="",M64="",N64="",O64="",P64="",Q64=""),"Incomplete",IF(OR(G64="Evidence required",M64="Evidence required"),"Evidence required",IF(OR(I64="Hypothesis",I64="Observed association",I64="Contradictory or unresolved",Q64&lt;&gt;"Reviewed"),"Review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75" t="str">
        <x:f>IF(A65="","",IF(OR(B65="",C65="",D65="",E65="",F65="",G65="",H65="",I65="",J65="",K65="",L65="",M65="",N65="",O65="",P65="",Q65=""),"Incomplete",IF(OR(G65="Evidence required",M65="Evidence required"),"Evidence required",IF(OR(I65="Hypothesis",I65="Observed association",I65="Contradictory or unresolved",Q65&lt;&gt;"Reviewed"),"Review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75" t="str">
        <x:f>IF(A66="","",IF(OR(B66="",C66="",D66="",E66="",F66="",G66="",H66="",I66="",J66="",K66="",L66="",M66="",N66="",O66="",P66="",Q66=""),"Incomplete",IF(OR(G66="Evidence required",M66="Evidence required"),"Evidence required",IF(OR(I66="Hypothesis",I66="Observed association",I66="Contradictory or unresolved",Q66&lt;&gt;"Reviewed"),"Review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75" t="str">
        <x:f>IF(A67="","",IF(OR(B67="",C67="",D67="",E67="",F67="",G67="",H67="",I67="",J67="",K67="",L67="",M67="",N67="",O67="",P67="",Q67=""),"Incomplete",IF(OR(G67="Evidence required",M67="Evidence required"),"Evidence required",IF(OR(I67="Hypothesis",I67="Observed association",I67="Contradictory or unresolved",Q67&lt;&gt;"Reviewed"),"Review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75" t="str">
        <x:f>IF(A68="","",IF(OR(B68="",C68="",D68="",E68="",F68="",G68="",H68="",I68="",J68="",K68="",L68="",M68="",N68="",O68="",P68="",Q68=""),"Incomplete",IF(OR(G68="Evidence required",M68="Evidence required"),"Evidence required",IF(OR(I68="Hypothesis",I68="Observed association",I68="Contradictory or unresolved",Q68&lt;&gt;"Reviewed"),"Review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75" t="str">
        <x:f>IF(A69="","",IF(OR(B69="",C69="",D69="",E69="",F69="",G69="",H69="",I69="",J69="",K69="",L69="",M69="",N69="",O69="",P69="",Q69=""),"Incomplete",IF(OR(G69="Evidence required",M69="Evidence required"),"Evidence required",IF(OR(I69="Hypothesis",I69="Observed association",I69="Contradictory or unresolved",Q69&lt;&gt;"Reviewed"),"Review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75" t="str">
        <x:f>IF(A70="","",IF(OR(B70="",C70="",D70="",E70="",F70="",G70="",H70="",I70="",J70="",K70="",L70="",M70="",N70="",O70="",P70="",Q70=""),"Incomplete",IF(OR(G70="Evidence required",M70="Evidence required"),"Evidence required",IF(OR(I70="Hypothesis",I70="Observed association",I70="Contradictory or unresolved",Q70&lt;&gt;"Reviewed"),"Review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75" t="str">
        <x:f>IF(A71="","",IF(OR(B71="",C71="",D71="",E71="",F71="",G71="",H71="",I71="",J71="",K71="",L71="",M71="",N71="",O71="",P71="",Q71=""),"Incomplete",IF(OR(G71="Evidence required",M71="Evidence required"),"Evidence required",IF(OR(I71="Hypothesis",I71="Observed association",I71="Contradictory or unresolved",Q71&lt;&gt;"Reviewed"),"Review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75" t="str">
        <x:f>IF(A72="","",IF(OR(B72="",C72="",D72="",E72="",F72="",G72="",H72="",I72="",J72="",K72="",L72="",M72="",N72="",O72="",P72="",Q72=""),"Incomplete",IF(OR(G72="Evidence required",M72="Evidence required"),"Evidence required",IF(OR(I72="Hypothesis",I72="Observed association",I72="Contradictory or unresolved",Q72&lt;&gt;"Reviewed"),"Review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75" t="str">
        <x:f>IF(A73="","",IF(OR(B73="",C73="",D73="",E73="",F73="",G73="",H73="",I73="",J73="",K73="",L73="",M73="",N73="",O73="",P73="",Q73=""),"Incomplete",IF(OR(G73="Evidence required",M73="Evidence required"),"Evidence required",IF(OR(I73="Hypothesis",I73="Observed association",I73="Contradictory or unresolved",Q73&lt;&gt;"Reviewed"),"Review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75" t="str">
        <x:f>IF(A74="","",IF(OR(B74="",C74="",D74="",E74="",F74="",G74="",H74="",I74="",J74="",K74="",L74="",M74="",N74="",O74="",P74="",Q74=""),"Incomplete",IF(OR(G74="Evidence required",M74="Evidence required"),"Evidence required",IF(OR(I74="Hypothesis",I74="Observed association",I74="Contradictory or unresolved",Q74&lt;&gt;"Reviewed"),"Review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75" t="str">
        <x:f>IF(A75="","",IF(OR(B75="",C75="",D75="",E75="",F75="",G75="",H75="",I75="",J75="",K75="",L75="",M75="",N75="",O75="",P75="",Q75=""),"Incomplete",IF(OR(G75="Evidence required",M75="Evidence required"),"Evidence required",IF(OR(I75="Hypothesis",I75="Observed association",I75="Contradictory or unresolved",Q75&lt;&gt;"Reviewed"),"Review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75" t="str">
        <x:f>IF(A76="","",IF(OR(B76="",C76="",D76="",E76="",F76="",G76="",H76="",I76="",J76="",K76="",L76="",M76="",N76="",O76="",P76="",Q76=""),"Incomplete",IF(OR(G76="Evidence required",M76="Evidence required"),"Evidence required",IF(OR(I76="Hypothesis",I76="Observed association",I76="Contradictory or unresolved",Q76&lt;&gt;"Reviewed"),"Review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75" t="str">
        <x:f>IF(A77="","",IF(OR(B77="",C77="",D77="",E77="",F77="",G77="",H77="",I77="",J77="",K77="",L77="",M77="",N77="",O77="",P77="",Q77=""),"Incomplete",IF(OR(G77="Evidence required",M77="Evidence required"),"Evidence required",IF(OR(I77="Hypothesis",I77="Observed association",I77="Contradictory or unresolved",Q77&lt;&gt;"Reviewed"),"Review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75" t="str">
        <x:f>IF(A78="","",IF(OR(B78="",C78="",D78="",E78="",F78="",G78="",H78="",I78="",J78="",K78="",L78="",M78="",N78="",O78="",P78="",Q78=""),"Incomplete",IF(OR(G78="Evidence required",M78="Evidence required"),"Evidence required",IF(OR(I78="Hypothesis",I78="Observed association",I78="Contradictory or unresolved",Q78&lt;&gt;"Reviewed"),"Review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75" t="str">
        <x:f>IF(A79="","",IF(OR(B79="",C79="",D79="",E79="",F79="",G79="",H79="",I79="",J79="",K79="",L79="",M79="",N79="",O79="",P79="",Q79=""),"Incomplete",IF(OR(G79="Evidence required",M79="Evidence required"),"Evidence required",IF(OR(I79="Hypothesis",I79="Observed association",I79="Contradictory or unresolved",Q79&lt;&gt;"Reviewed"),"Review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75" t="str">
        <x:f>IF(A80="","",IF(OR(B80="",C80="",D80="",E80="",F80="",G80="",H80="",I80="",J80="",K80="",L80="",M80="",N80="",O80="",P80="",Q80=""),"Incomplete",IF(OR(G80="Evidence required",M80="Evidence required"),"Evidence required",IF(OR(I80="Hypothesis",I80="Observed association",I80="Contradictory or unresolved",Q80&lt;&gt;"Reviewed"),"Review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75" t="str">
        <x:f>IF(A81="","",IF(OR(B81="",C81="",D81="",E81="",F81="",G81="",H81="",I81="",J81="",K81="",L81="",M81="",N81="",O81="",P81="",Q81=""),"Incomplete",IF(OR(G81="Evidence required",M81="Evidence required"),"Evidence required",IF(OR(I81="Hypothesis",I81="Observed association",I81="Contradictory or unresolved",Q81&lt;&gt;"Reviewed"),"Review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75" t="str">
        <x:f>IF(A82="","",IF(OR(B82="",C82="",D82="",E82="",F82="",G82="",H82="",I82="",J82="",K82="",L82="",M82="",N82="",O82="",P82="",Q82=""),"Incomplete",IF(OR(G82="Evidence required",M82="Evidence required"),"Evidence required",IF(OR(I82="Hypothesis",I82="Observed association",I82="Contradictory or unresolved",Q82&lt;&gt;"Reviewed"),"Review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75" t="str">
        <x:f>IF(A83="","",IF(OR(B83="",C83="",D83="",E83="",F83="",G83="",H83="",I83="",J83="",K83="",L83="",M83="",N83="",O83="",P83="",Q83=""),"Incomplete",IF(OR(G83="Evidence required",M83="Evidence required"),"Evidence required",IF(OR(I83="Hypothesis",I83="Observed association",I83="Contradictory or unresolved",Q83&lt;&gt;"Reviewed"),"Review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75" t="str">
        <x:f>IF(A84="","",IF(OR(B84="",C84="",D84="",E84="",F84="",G84="",H84="",I84="",J84="",K84="",L84="",M84="",N84="",O84="",P84="",Q84=""),"Incomplete",IF(OR(G84="Evidence required",M84="Evidence required"),"Evidence required",IF(OR(I84="Hypothesis",I84="Observed association",I84="Contradictory or unresolved",Q84&lt;&gt;"Reviewed"),"Review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75" t="str">
        <x:f>IF(A85="","",IF(OR(B85="",C85="",D85="",E85="",F85="",G85="",H85="",I85="",J85="",K85="",L85="",M85="",N85="",O85="",P85="",Q85=""),"Incomplete",IF(OR(G85="Evidence required",M85="Evidence required"),"Evidence required",IF(OR(I85="Hypothesis",I85="Observed association",I85="Contradictory or unresolved",Q85&lt;&gt;"Reviewed"),"Review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75" t="str">
        <x:f>IF(A86="","",IF(OR(B86="",C86="",D86="",E86="",F86="",G86="",H86="",I86="",J86="",K86="",L86="",M86="",N86="",O86="",P86="",Q86=""),"Incomplete",IF(OR(G86="Evidence required",M86="Evidence required"),"Evidence required",IF(OR(I86="Hypothesis",I86="Observed association",I86="Contradictory or unresolved",Q86&lt;&gt;"Reviewed"),"Review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75" t="str">
        <x:f>IF(A87="","",IF(OR(B87="",C87="",D87="",E87="",F87="",G87="",H87="",I87="",J87="",K87="",L87="",M87="",N87="",O87="",P87="",Q87=""),"Incomplete",IF(OR(G87="Evidence required",M87="Evidence required"),"Evidence required",IF(OR(I87="Hypothesis",I87="Observed association",I87="Contradictory or unresolved",Q87&lt;&gt;"Reviewed"),"Review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75" t="str">
        <x:f>IF(A88="","",IF(OR(B88="",C88="",D88="",E88="",F88="",G88="",H88="",I88="",J88="",K88="",L88="",M88="",N88="",O88="",P88="",Q88=""),"Incomplete",IF(OR(G88="Evidence required",M88="Evidence required"),"Evidence required",IF(OR(I88="Hypothesis",I88="Observed association",I88="Contradictory or unresolved",Q88&lt;&gt;"Reviewed"),"Review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75" t="str">
        <x:f>IF(A89="","",IF(OR(B89="",C89="",D89="",E89="",F89="",G89="",H89="",I89="",J89="",K89="",L89="",M89="",N89="",O89="",P89="",Q89=""),"Incomplete",IF(OR(G89="Evidence required",M89="Evidence required"),"Evidence required",IF(OR(I89="Hypothesis",I89="Observed association",I89="Contradictory or unresolved",Q89&lt;&gt;"Reviewed"),"Review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75" t="str">
        <x:f>IF(A90="","",IF(OR(B90="",C90="",D90="",E90="",F90="",G90="",H90="",I90="",J90="",K90="",L90="",M90="",N90="",O90="",P90="",Q90=""),"Incomplete",IF(OR(G90="Evidence required",M90="Evidence required"),"Evidence required",IF(OR(I90="Hypothesis",I90="Observed association",I90="Contradictory or unresolved",Q90&lt;&gt;"Reviewed"),"Review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75" t="str">
        <x:f>IF(A91="","",IF(OR(B91="",C91="",D91="",E91="",F91="",G91="",H91="",I91="",J91="",K91="",L91="",M91="",N91="",O91="",P91="",Q91=""),"Incomplete",IF(OR(G91="Evidence required",M91="Evidence required"),"Evidence required",IF(OR(I91="Hypothesis",I91="Observed association",I91="Contradictory or unresolved",Q91&lt;&gt;"Reviewed"),"Review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75" t="str">
        <x:f>IF(A92="","",IF(OR(B92="",C92="",D92="",E92="",F92="",G92="",H92="",I92="",J92="",K92="",L92="",M92="",N92="",O92="",P92="",Q92=""),"Incomplete",IF(OR(G92="Evidence required",M92="Evidence required"),"Evidence required",IF(OR(I92="Hypothesis",I92="Observed association",I92="Contradictory or unresolved",Q92&lt;&gt;"Reviewed"),"Review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75" t="str">
        <x:f>IF(A93="","",IF(OR(B93="",C93="",D93="",E93="",F93="",G93="",H93="",I93="",J93="",K93="",L93="",M93="",N93="",O93="",P93="",Q93=""),"Incomplete",IF(OR(G93="Evidence required",M93="Evidence required"),"Evidence required",IF(OR(I93="Hypothesis",I93="Observed association",I93="Contradictory or unresolved",Q93&lt;&gt;"Reviewed"),"Review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75" t="str">
        <x:f>IF(A94="","",IF(OR(B94="",C94="",D94="",E94="",F94="",G94="",H94="",I94="",J94="",K94="",L94="",M94="",N94="",O94="",P94="",Q94=""),"Incomplete",IF(OR(G94="Evidence required",M94="Evidence required"),"Evidence required",IF(OR(I94="Hypothesis",I94="Observed association",I94="Contradictory or unresolved",Q94&lt;&gt;"Reviewed"),"Review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75" t="str">
        <x:f>IF(A95="","",IF(OR(B95="",C95="",D95="",E95="",F95="",G95="",H95="",I95="",J95="",K95="",L95="",M95="",N95="",O95="",P95="",Q95=""),"Incomplete",IF(OR(G95="Evidence required",M95="Evidence required"),"Evidence required",IF(OR(I95="Hypothesis",I95="Observed association",I95="Contradictory or unresolved",Q95&lt;&gt;"Reviewed"),"Review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75" t="str">
        <x:f>IF(A96="","",IF(OR(B96="",C96="",D96="",E96="",F96="",G96="",H96="",I96="",J96="",K96="",L96="",M96="",N96="",O96="",P96="",Q96=""),"Incomplete",IF(OR(G96="Evidence required",M96="Evidence required"),"Evidence required",IF(OR(I96="Hypothesis",I96="Observed association",I96="Contradictory or unresolved",Q96&lt;&gt;"Reviewed"),"Review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75" t="str">
        <x:f>IF(A97="","",IF(OR(B97="",C97="",D97="",E97="",F97="",G97="",H97="",I97="",J97="",K97="",L97="",M97="",N97="",O97="",P97="",Q97=""),"Incomplete",IF(OR(G97="Evidence required",M97="Evidence required"),"Evidence required",IF(OR(I97="Hypothesis",I97="Observed association",I97="Contradictory or unresolved",Q97&lt;&gt;"Reviewed"),"Review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75" t="str">
        <x:f>IF(A98="","",IF(OR(B98="",C98="",D98="",E98="",F98="",G98="",H98="",I98="",J98="",K98="",L98="",M98="",N98="",O98="",P98="",Q98=""),"Incomplete",IF(OR(G98="Evidence required",M98="Evidence required"),"Evidence required",IF(OR(I98="Hypothesis",I98="Observed association",I98="Contradictory or unresolved",Q98&lt;&gt;"Reviewed"),"Review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75" t="str">
        <x:f>IF(A99="","",IF(OR(B99="",C99="",D99="",E99="",F99="",G99="",H99="",I99="",J99="",K99="",L99="",M99="",N99="",O99="",P99="",Q99=""),"Incomplete",IF(OR(G99="Evidence required",M99="Evidence required"),"Evidence required",IF(OR(I99="Hypothesis",I99="Observed association",I99="Contradictory or unresolved",Q99&lt;&gt;"Reviewed"),"Review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75" t="str">
        <x:f>IF(A100="","",IF(OR(B100="",C100="",D100="",E100="",F100="",G100="",H100="",I100="",J100="",K100="",L100="",M100="",N100="",O100="",P100="",Q100=""),"Incomplete",IF(OR(G100="Evidence required",M100="Evidence required"),"Evidence required",IF(OR(I100="Hypothesis",I100="Observed association",I100="Contradictory or unresolved",Q100&lt;&gt;"Reviewed"),"Review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75" t="str">
        <x:f>IF(A101="","",IF(OR(B101="",C101="",D101="",E101="",F101="",G101="",H101="",I101="",J101="",K101="",L101="",M101="",N101="",O101="",P101="",Q101=""),"Incomplete",IF(OR(G101="Evidence required",M101="Evidence required"),"Evidence required",IF(OR(I101="Hypothesis",I101="Observed association",I101="Contradictory or unresolved",Q101&lt;&gt;"Reviewed"),"Review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75" t="str">
        <x:f>IF(A102="","",IF(OR(B102="",C102="",D102="",E102="",F102="",G102="",H102="",I102="",J102="",K102="",L102="",M102="",N102="",O102="",P102="",Q102=""),"Incomplete",IF(OR(G102="Evidence required",M102="Evidence required"),"Evidence required",IF(OR(I102="Hypothesis",I102="Observed association",I102="Contradictory or unresolved",Q102&lt;&gt;"Reviewed"),"Review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75" t="str">
        <x:f>IF(A103="","",IF(OR(B103="",C103="",D103="",E103="",F103="",G103="",H103="",I103="",J103="",K103="",L103="",M103="",N103="",O103="",P103="",Q103=""),"Incomplete",IF(OR(G103="Evidence required",M103="Evidence required"),"Evidence required",IF(OR(I103="Hypothesis",I103="Observed association",I103="Contradictory or unresolved",Q103&lt;&gt;"Reviewed"),"Review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75" t="str">
        <x:f>IF(A104="","",IF(OR(B104="",C104="",D104="",E104="",F104="",G104="",H104="",I104="",J104="",K104="",L104="",M104="",N104="",O104="",P104="",Q104=""),"Incomplete",IF(OR(G104="Evidence required",M104="Evidence required"),"Evidence required",IF(OR(I104="Hypothesis",I104="Observed association",I104="Contradictory or unresolved",Q104&lt;&gt;"Reviewed"),"Review required","Ready for qualified review"))))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75" t="str">
        <x:f>IF(A105="","",IF(OR(B105="",C105="",D105="",E105="",F105="",G105="",H105="",I105="",J105="",K105="",L105="",M105="",N105="",O105="",P105="",Q105=""),"Incomplete",IF(OR(G105="Evidence required",M105="Evidence required"),"Evidence required",IF(OR(I105="Hypothesis",I105="Observed association",I105="Contradictory or unresolved",Q105&lt;&gt;"Reviewed"),"Review required","Ready for qualified review"))))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75" t="str">
        <x:f>IF(A106="","",IF(OR(B106="",C106="",D106="",E106="",F106="",G106="",H106="",I106="",J106="",K106="",L106="",M106="",N106="",O106="",P106="",Q106=""),"Incomplete",IF(OR(G106="Evidence required",M106="Evidence required"),"Evidence required",IF(OR(I106="Hypothesis",I106="Observed association",I106="Contradictory or unresolved",Q106&lt;&gt;"Reviewed"),"Review required","Ready for qualified review"))))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75" t="str">
        <x:f>IF(A107="","",IF(OR(B107="",C107="",D107="",E107="",F107="",G107="",H107="",I107="",J107="",K107="",L107="",M107="",N107="",O107="",P107="",Q107=""),"Incomplete",IF(OR(G107="Evidence required",M107="Evidence required"),"Evidence required",IF(OR(I107="Hypothesis",I107="Observed association",I107="Contradictory or unresolved",Q107&lt;&gt;"Reviewed"),"Review required","Ready for qualified review"))))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75" t="str">
        <x:f>IF(A108="","",IF(OR(B108="",C108="",D108="",E108="",F108="",G108="",H108="",I108="",J108="",K108="",L108="",M108="",N108="",O108="",P108="",Q108=""),"Incomplete",IF(OR(G108="Evidence required",M108="Evidence required"),"Evidence required",IF(OR(I108="Hypothesis",I108="Observed association",I108="Contradictory or unresolved",Q108&lt;&gt;"Reviewed"),"Review required","Ready for qualified review"))))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75" t="str">
        <x:f>IF(A109="","",IF(OR(B109="",C109="",D109="",E109="",F109="",G109="",H109="",I109="",J109="",K109="",L109="",M109="",N109="",O109="",P109="",Q109=""),"Incomplete",IF(OR(G109="Evidence required",M109="Evidence required"),"Evidence required",IF(OR(I109="Hypothesis",I109="Observed association",I109="Contradictory or unresolved",Q109&lt;&gt;"Reviewed"),"Review required","Ready for qualified review"))))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75" t="str">
        <x:f>IF(A110="","",IF(OR(B110="",C110="",D110="",E110="",F110="",G110="",H110="",I110="",J110="",K110="",L110="",M110="",N110="",O110="",P110="",Q110=""),"Incomplete",IF(OR(G110="Evidence required",M110="Evidence required"),"Evidence required",IF(OR(I110="Hypothesis",I110="Observed association",I110="Contradictory or unresolved",Q110&lt;&gt;"Reviewed"),"Review required","Ready for qualified review"))))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75" t="str">
        <x:f>IF(A111="","",IF(OR(B111="",C111="",D111="",E111="",F111="",G111="",H111="",I111="",J111="",K111="",L111="",M111="",N111="",O111="",P111="",Q111=""),"Incomplete",IF(OR(G111="Evidence required",M111="Evidence required"),"Evidence required",IF(OR(I111="Hypothesis",I111="Observed association",I111="Contradictory or unresolved",Q111&lt;&gt;"Reviewed"),"Review required","Ready for qualified review"))))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75" t="str">
        <x:f>IF(A112="","",IF(OR(B112="",C112="",D112="",E112="",F112="",G112="",H112="",I112="",J112="",K112="",L112="",M112="",N112="",O112="",P112="",Q112=""),"Incomplete",IF(OR(G112="Evidence required",M112="Evidence required"),"Evidence required",IF(OR(I112="Hypothesis",I112="Observed association",I112="Contradictory or unresolved",Q112&lt;&gt;"Reviewed"),"Review required","Ready for qualified review"))))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75" t="str">
        <x:f>IF(A113="","",IF(OR(B113="",C113="",D113="",E113="",F113="",G113="",H113="",I113="",J113="",K113="",L113="",M113="",N113="",O113="",P113="",Q113=""),"Incomplete",IF(OR(G113="Evidence required",M113="Evidence required"),"Evidence required",IF(OR(I113="Hypothesis",I113="Observed association",I113="Contradictory or unresolved",Q113&lt;&gt;"Reviewed"),"Review required","Ready for qualified review"))))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75" t="str">
        <x:f>IF(A114="","",IF(OR(B114="",C114="",D114="",E114="",F114="",G114="",H114="",I114="",J114="",K114="",L114="",M114="",N114="",O114="",P114="",Q114=""),"Incomplete",IF(OR(G114="Evidence required",M114="Evidence required"),"Evidence required",IF(OR(I114="Hypothesis",I114="Observed association",I114="Contradictory or unresolved",Q114&lt;&gt;"Reviewed"),"Review required","Ready for qualified review"))))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75" t="str">
        <x:f>IF(A115="","",IF(OR(B115="",C115="",D115="",E115="",F115="",G115="",H115="",I115="",J115="",K115="",L115="",M115="",N115="",O115="",P115="",Q115=""),"Incomplete",IF(OR(G115="Evidence required",M115="Evidence required"),"Evidence required",IF(OR(I115="Hypothesis",I115="Observed association",I115="Contradictory or unresolved",Q115&lt;&gt;"Reviewed"),"Review required","Ready for qualified review"))))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75" t="str">
        <x:f>IF(A116="","",IF(OR(B116="",C116="",D116="",E116="",F116="",G116="",H116="",I116="",J116="",K116="",L116="",M116="",N116="",O116="",P116="",Q116=""),"Incomplete",IF(OR(G116="Evidence required",M116="Evidence required"),"Evidence required",IF(OR(I116="Hypothesis",I116="Observed association",I116="Contradictory or unresolved",Q116&lt;&gt;"Reviewed"),"Review required","Ready for qualified review"))))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75" t="str">
        <x:f>IF(A117="","",IF(OR(B117="",C117="",D117="",E117="",F117="",G117="",H117="",I117="",J117="",K117="",L117="",M117="",N117="",O117="",P117="",Q117=""),"Incomplete",IF(OR(G117="Evidence required",M117="Evidence required"),"Evidence required",IF(OR(I117="Hypothesis",I117="Observed association",I117="Contradictory or unresolved",Q117&lt;&gt;"Reviewed"),"Review required","Ready for qualified review"))))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75" t="str">
        <x:f>IF(A118="","",IF(OR(B118="",C118="",D118="",E118="",F118="",G118="",H118="",I118="",J118="",K118="",L118="",M118="",N118="",O118="",P118="",Q118=""),"Incomplete",IF(OR(G118="Evidence required",M118="Evidence required"),"Evidence required",IF(OR(I118="Hypothesis",I118="Observed association",I118="Contradictory or unresolved",Q118&lt;&gt;"Reviewed"),"Review required","Ready for qualified review"))))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75" t="str">
        <x:f>IF(A119="","",IF(OR(B119="",C119="",D119="",E119="",F119="",G119="",H119="",I119="",J119="",K119="",L119="",M119="",N119="",O119="",P119="",Q119=""),"Incomplete",IF(OR(G119="Evidence required",M119="Evidence required"),"Evidence required",IF(OR(I119="Hypothesis",I119="Observed association",I119="Contradictory or unresolved",Q119&lt;&gt;"Reviewed"),"Review required","Ready for qualified review"))))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75" t="str">
        <x:f>IF(A120="","",IF(OR(B120="",C120="",D120="",E120="",F120="",G120="",H120="",I120="",J120="",K120="",L120="",M120="",N120="",O120="",P120="",Q120=""),"Incomplete",IF(OR(G120="Evidence required",M120="Evidence required"),"Evidence required",IF(OR(I120="Hypothesis",I120="Observed association",I120="Contradictory or unresolved",Q120&lt;&gt;"Reviewed"),"Review required","Ready for qualified review"))))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75" t="str">
        <x:f>IF(A121="","",IF(OR(B121="",C121="",D121="",E121="",F121="",G121="",H121="",I121="",J121="",K121="",L121="",M121="",N121="",O121="",P121="",Q121=""),"Incomplete",IF(OR(G121="Evidence required",M121="Evidence required"),"Evidence required",IF(OR(I121="Hypothesis",I121="Observed association",I121="Contradictory or unresolved",Q121&lt;&gt;"Reviewed"),"Review required","Ready for qualified review"))))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75" t="str">
        <x:f>IF(A122="","",IF(OR(B122="",C122="",D122="",E122="",F122="",G122="",H122="",I122="",J122="",K122="",L122="",M122="",N122="",O122="",P122="",Q122=""),"Incomplete",IF(OR(G122="Evidence required",M122="Evidence required"),"Evidence required",IF(OR(I122="Hypothesis",I122="Observed association",I122="Contradictory or unresolved",Q122&lt;&gt;"Reviewed"),"Review required","Ready for qualified review"))))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75" t="str">
        <x:f>IF(A123="","",IF(OR(B123="",C123="",D123="",E123="",F123="",G123="",H123="",I123="",J123="",K123="",L123="",M123="",N123="",O123="",P123="",Q123=""),"Incomplete",IF(OR(G123="Evidence required",M123="Evidence required"),"Evidence required",IF(OR(I123="Hypothesis",I123="Observed association",I123="Contradictory or unresolved",Q123&lt;&gt;"Reviewed"),"Review required","Ready for qualified review"))))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75" t="str">
        <x:f>IF(A124="","",IF(OR(B124="",C124="",D124="",E124="",F124="",G124="",H124="",I124="",J124="",K124="",L124="",M124="",N124="",O124="",P124="",Q124=""),"Incomplete",IF(OR(G124="Evidence required",M124="Evidence required"),"Evidence required",IF(OR(I124="Hypothesis",I124="Observed association",I124="Contradictory or unresolved",Q124&lt;&gt;"Reviewed"),"Review required","Ready for qualified review"))))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75" t="str">
        <x:f>IF(A125="","",IF(OR(B125="",C125="",D125="",E125="",F125="",G125="",H125="",I125="",J125="",K125="",L125="",M125="",N125="",O125="",P125="",Q125=""),"Incomplete",IF(OR(G125="Evidence required",M125="Evidence required"),"Evidence required",IF(OR(I125="Hypothesis",I125="Observed association",I125="Contradictory or unresolved",Q125&lt;&gt;"Reviewed"),"Review required","Ready for qualified review"))))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75" t="str">
        <x:f>IF(A126="","",IF(OR(B126="",C126="",D126="",E126="",F126="",G126="",H126="",I126="",J126="",K126="",L126="",M126="",N126="",O126="",P126="",Q126=""),"Incomplete",IF(OR(G126="Evidence required",M126="Evidence required"),"Evidence required",IF(OR(I126="Hypothesis",I126="Observed association",I126="Contradictory or unresolved",Q126&lt;&gt;"Reviewed"),"Review required","Ready for qualified review"))))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75" t="str">
        <x:f>IF(A127="","",IF(OR(B127="",C127="",D127="",E127="",F127="",G127="",H127="",I127="",J127="",K127="",L127="",M127="",N127="",O127="",P127="",Q127=""),"Incomplete",IF(OR(G127="Evidence required",M127="Evidence required"),"Evidence required",IF(OR(I127="Hypothesis",I127="Observed association",I127="Contradictory or unresolved",Q127&lt;&gt;"Reviewed"),"Review required","Ready for qualified review"))))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75" t="str">
        <x:f>IF(A128="","",IF(OR(B128="",C128="",D128="",E128="",F128="",G128="",H128="",I128="",J128="",K128="",L128="",M128="",N128="",O128="",P128="",Q128=""),"Incomplete",IF(OR(G128="Evidence required",M128="Evidence required"),"Evidence required",IF(OR(I128="Hypothesis",I128="Observed association",I128="Contradictory or unresolved",Q128&lt;&gt;"Reviewed"),"Review required","Ready for qualified review"))))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75" t="str">
        <x:f>IF(A129="","",IF(OR(B129="",C129="",D129="",E129="",F129="",G129="",H129="",I129="",J129="",K129="",L129="",M129="",N129="",O129="",P129="",Q129=""),"Incomplete",IF(OR(G129="Evidence required",M129="Evidence required"),"Evidence required",IF(OR(I129="Hypothesis",I129="Observed association",I129="Contradictory or unresolved",Q129&lt;&gt;"Reviewed"),"Review required","Ready for qualified review"))))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75" t="str">
        <x:f>IF(A130="","",IF(OR(B130="",C130="",D130="",E130="",F130="",G130="",H130="",I130="",J130="",K130="",L130="",M130="",N130="",O130="",P130="",Q130=""),"Incomplete",IF(OR(G130="Evidence required",M130="Evidence required"),"Evidence required",IF(OR(I130="Hypothesis",I130="Observed association",I130="Contradictory or unresolved",Q130&lt;&gt;"Reviewed"),"Review required","Ready for qualified review"))))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75" t="str">
        <x:f>IF(A131="","",IF(OR(B131="",C131="",D131="",E131="",F131="",G131="",H131="",I131="",J131="",K131="",L131="",M131="",N131="",O131="",P131="",Q131=""),"Incomplete",IF(OR(G131="Evidence required",M131="Evidence required"),"Evidence required",IF(OR(I131="Hypothesis",I131="Observed association",I131="Contradictory or unresolved",Q131&lt;&gt;"Reviewed"),"Review required","Ready for qualified review"))))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75" t="str">
        <x:f>IF(A132="","",IF(OR(B132="",C132="",D132="",E132="",F132="",G132="",H132="",I132="",J132="",K132="",L132="",M132="",N132="",O132="",P132="",Q132=""),"Incomplete",IF(OR(G132="Evidence required",M132="Evidence required"),"Evidence required",IF(OR(I132="Hypothesis",I132="Observed association",I132="Contradictory or unresolved",Q132&lt;&gt;"Reviewed"),"Review required","Ready for qualified review"))))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75" t="str">
        <x:f>IF(A133="","",IF(OR(B133="",C133="",D133="",E133="",F133="",G133="",H133="",I133="",J133="",K133="",L133="",M133="",N133="",O133="",P133="",Q133=""),"Incomplete",IF(OR(G133="Evidence required",M133="Evidence required"),"Evidence required",IF(OR(I133="Hypothesis",I133="Observed association",I133="Contradictory or unresolved",Q133&lt;&gt;"Reviewed"),"Review required","Ready for qualified review"))))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75" t="str">
        <x:f>IF(A134="","",IF(OR(B134="",C134="",D134="",E134="",F134="",G134="",H134="",I134="",J134="",K134="",L134="",M134="",N134="",O134="",P134="",Q134=""),"Incomplete",IF(OR(G134="Evidence required",M134="Evidence required"),"Evidence required",IF(OR(I134="Hypothesis",I134="Observed association",I134="Contradictory or unresolved",Q134&lt;&gt;"Reviewed"),"Review required","Ready for qualified review"))))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75" t="str">
        <x:f>IF(A135="","",IF(OR(B135="",C135="",D135="",E135="",F135="",G135="",H135="",I135="",J135="",K135="",L135="",M135="",N135="",O135="",P135="",Q135=""),"Incomplete",IF(OR(G135="Evidence required",M135="Evidence required"),"Evidence required",IF(OR(I135="Hypothesis",I135="Observed association",I135="Contradictory or unresolved",Q135&lt;&gt;"Reviewed"),"Review required","Ready for qualified review"))))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75" t="str">
        <x:f>IF(A136="","",IF(OR(B136="",C136="",D136="",E136="",F136="",G136="",H136="",I136="",J136="",K136="",L136="",M136="",N136="",O136="",P136="",Q136=""),"Incomplete",IF(OR(G136="Evidence required",M136="Evidence required"),"Evidence required",IF(OR(I136="Hypothesis",I136="Observed association",I136="Contradictory or unresolved",Q136&lt;&gt;"Reviewed"),"Review required","Ready for qualified review"))))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75" t="str">
        <x:f>IF(A137="","",IF(OR(B137="",C137="",D137="",E137="",F137="",G137="",H137="",I137="",J137="",K137="",L137="",M137="",N137="",O137="",P137="",Q137=""),"Incomplete",IF(OR(G137="Evidence required",M137="Evidence required"),"Evidence required",IF(OR(I137="Hypothesis",I137="Observed association",I137="Contradictory or unresolved",Q137&lt;&gt;"Reviewed"),"Review required","Ready for qualified review"))))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75" t="str">
        <x:f>IF(A138="","",IF(OR(B138="",C138="",D138="",E138="",F138="",G138="",H138="",I138="",J138="",K138="",L138="",M138="",N138="",O138="",P138="",Q138=""),"Incomplete",IF(OR(G138="Evidence required",M138="Evidence required"),"Evidence required",IF(OR(I138="Hypothesis",I138="Observed association",I138="Contradictory or unresolved",Q138&lt;&gt;"Reviewed"),"Review required","Ready for qualified review"))))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75" t="str">
        <x:f>IF(A139="","",IF(OR(B139="",C139="",D139="",E139="",F139="",G139="",H139="",I139="",J139="",K139="",L139="",M139="",N139="",O139="",P139="",Q139=""),"Incomplete",IF(OR(G139="Evidence required",M139="Evidence required"),"Evidence required",IF(OR(I139="Hypothesis",I139="Observed association",I139="Contradictory or unresolved",Q139&lt;&gt;"Reviewed"),"Review required","Ready for qualified review"))))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75" t="str">
        <x:f>IF(A140="","",IF(OR(B140="",C140="",D140="",E140="",F140="",G140="",H140="",I140="",J140="",K140="",L140="",M140="",N140="",O140="",P140="",Q140=""),"Incomplete",IF(OR(G140="Evidence required",M140="Evidence required"),"Evidence required",IF(OR(I140="Hypothesis",I140="Observed association",I140="Contradictory or unresolved",Q140&lt;&gt;"Reviewed"),"Review required","Ready for qualified review"))))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75" t="str">
        <x:f>IF(A141="","",IF(OR(B141="",C141="",D141="",E141="",F141="",G141="",H141="",I141="",J141="",K141="",L141="",M141="",N141="",O141="",P141="",Q141=""),"Incomplete",IF(OR(G141="Evidence required",M141="Evidence required"),"Evidence required",IF(OR(I141="Hypothesis",I141="Observed association",I141="Contradictory or unresolved",Q141&lt;&gt;"Reviewed"),"Review required","Ready for qualified review"))))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75" t="str">
        <x:f>IF(A142="","",IF(OR(B142="",C142="",D142="",E142="",F142="",G142="",H142="",I142="",J142="",K142="",L142="",M142="",N142="",O142="",P142="",Q142=""),"Incomplete",IF(OR(G142="Evidence required",M142="Evidence required"),"Evidence required",IF(OR(I142="Hypothesis",I142="Observed association",I142="Contradictory or unresolved",Q142&lt;&gt;"Reviewed"),"Review required","Ready for qualified review"))))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75" t="str">
        <x:f>IF(A143="","",IF(OR(B143="",C143="",D143="",E143="",F143="",G143="",H143="",I143="",J143="",K143="",L143="",M143="",N143="",O143="",P143="",Q143=""),"Incomplete",IF(OR(G143="Evidence required",M143="Evidence required"),"Evidence required",IF(OR(I143="Hypothesis",I143="Observed association",I143="Contradictory or unresolved",Q143&lt;&gt;"Reviewed"),"Review required","Ready for qualified review"))))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75" t="str">
        <x:f>IF(A144="","",IF(OR(B144="",C144="",D144="",E144="",F144="",G144="",H144="",I144="",J144="",K144="",L144="",M144="",N144="",O144="",P144="",Q144=""),"Incomplete",IF(OR(G144="Evidence required",M144="Evidence required"),"Evidence required",IF(OR(I144="Hypothesis",I144="Observed association",I144="Contradictory or unresolved",Q144&lt;&gt;"Reviewed"),"Review required","Ready for qualified review"))))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75" t="str">
        <x:f>IF(A145="","",IF(OR(B145="",C145="",D145="",E145="",F145="",G145="",H145="",I145="",J145="",K145="",L145="",M145="",N145="",O145="",P145="",Q145=""),"Incomplete",IF(OR(G145="Evidence required",M145="Evidence required"),"Evidence required",IF(OR(I145="Hypothesis",I145="Observed association",I145="Contradictory or unresolved",Q145&lt;&gt;"Reviewed"),"Review required","Ready for qualified review"))))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75" t="str">
        <x:f>IF(A146="","",IF(OR(B146="",C146="",D146="",E146="",F146="",G146="",H146="",I146="",J146="",K146="",L146="",M146="",N146="",O146="",P146="",Q146=""),"Incomplete",IF(OR(G146="Evidence required",M146="Evidence required"),"Evidence required",IF(OR(I146="Hypothesis",I146="Observed association",I146="Contradictory or unresolved",Q146&lt;&gt;"Reviewed"),"Review required","Ready for qualified review"))))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75" t="str">
        <x:f>IF(A147="","",IF(OR(B147="",C147="",D147="",E147="",F147="",G147="",H147="",I147="",J147="",K147="",L147="",M147="",N147="",O147="",P147="",Q147=""),"Incomplete",IF(OR(G147="Evidence required",M147="Evidence required"),"Evidence required",IF(OR(I147="Hypothesis",I147="Observed association",I147="Contradictory or unresolved",Q147&lt;&gt;"Reviewed"),"Review required","Ready for qualified review"))))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75" t="str">
        <x:f>IF(A148="","",IF(OR(B148="",C148="",D148="",E148="",F148="",G148="",H148="",I148="",J148="",K148="",L148="",M148="",N148="",O148="",P148="",Q148=""),"Incomplete",IF(OR(G148="Evidence required",M148="Evidence required"),"Evidence required",IF(OR(I148="Hypothesis",I148="Observed association",I148="Contradictory or unresolved",Q148&lt;&gt;"Reviewed"),"Review required","Ready for qualified review"))))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75" t="str">
        <x:f>IF(A149="","",IF(OR(B149="",C149="",D149="",E149="",F149="",G149="",H149="",I149="",J149="",K149="",L149="",M149="",N149="",O149="",P149="",Q149=""),"Incomplete",IF(OR(G149="Evidence required",M149="Evidence required"),"Evidence required",IF(OR(I149="Hypothesis",I149="Observed association",I149="Contradictory or unresolved",Q149&lt;&gt;"Reviewed"),"Review required","Ready for qualified review"))))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75" t="str">
        <x:f>IF(A150="","",IF(OR(B150="",C150="",D150="",E150="",F150="",G150="",H150="",I150="",J150="",K150="",L150="",M150="",N150="",O150="",P150="",Q150=""),"Incomplete",IF(OR(G150="Evidence required",M150="Evidence required"),"Evidence required",IF(OR(I150="Hypothesis",I150="Observed association",I150="Contradictory or unresolved",Q150&lt;&gt;"Reviewed"),"Review required","Ready for qualified review"))))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75" t="str">
        <x:f>IF(A151="","",IF(OR(B151="",C151="",D151="",E151="",F151="",G151="",H151="",I151="",J151="",K151="",L151="",M151="",N151="",O151="",P151="",Q151=""),"Incomplete",IF(OR(G151="Evidence required",M151="Evidence required"),"Evidence required",IF(OR(I151="Hypothesis",I151="Observed association",I151="Contradictory or unresolved",Q151&lt;&gt;"Reviewed"),"Review required","Ready for qualified review"))))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75" t="str">
        <x:f>IF(A152="","",IF(OR(B152="",C152="",D152="",E152="",F152="",G152="",H152="",I152="",J152="",K152="",L152="",M152="",N152="",O152="",P152="",Q152=""),"Incomplete",IF(OR(G152="Evidence required",M152="Evidence required"),"Evidence required",IF(OR(I152="Hypothesis",I152="Observed association",I152="Contradictory or unresolved",Q152&lt;&gt;"Reviewed"),"Review required","Ready for qualified review"))))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75" t="str">
        <x:f>IF(A153="","",IF(OR(B153="",C153="",D153="",E153="",F153="",G153="",H153="",I153="",J153="",K153="",L153="",M153="",N153="",O153="",P153="",Q153=""),"Incomplete",IF(OR(G153="Evidence required",M153="Evidence required"),"Evidence required",IF(OR(I153="Hypothesis",I153="Observed association",I153="Contradictory or unresolved",Q153&lt;&gt;"Reviewed"),"Review required","Ready for qualified review"))))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75" t="str">
        <x:f>IF(A154="","",IF(OR(B154="",C154="",D154="",E154="",F154="",G154="",H154="",I154="",J154="",K154="",L154="",M154="",N154="",O154="",P154="",Q154=""),"Incomplete",IF(OR(G154="Evidence required",M154="Evidence required"),"Evidence required",IF(OR(I154="Hypothesis",I154="Observed association",I154="Contradictory or unresolved",Q154&lt;&gt;"Reviewed"),"Review required","Ready for qualified review"))))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75" t="str">
        <x:f>IF(A155="","",IF(OR(B155="",C155="",D155="",E155="",F155="",G155="",H155="",I155="",J155="",K155="",L155="",M155="",N155="",O155="",P155="",Q155=""),"Incomplete",IF(OR(G155="Evidence required",M155="Evidence required"),"Evidence required",IF(OR(I155="Hypothesis",I155="Observed association",I155="Contradictory or unresolved",Q155&lt;&gt;"Reviewed"),"Review required","Ready for qualified review"))))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75" t="str">
        <x:f>IF(A156="","",IF(OR(B156="",C156="",D156="",E156="",F156="",G156="",H156="",I156="",J156="",K156="",L156="",M156="",N156="",O156="",P156="",Q156=""),"Incomplete",IF(OR(G156="Evidence required",M156="Evidence required"),"Evidence required",IF(OR(I156="Hypothesis",I156="Observed association",I156="Contradictory or unresolved",Q156&lt;&gt;"Reviewed"),"Review required","Ready for qualified review"))))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75" t="str">
        <x:f>IF(A157="","",IF(OR(B157="",C157="",D157="",E157="",F157="",G157="",H157="",I157="",J157="",K157="",L157="",M157="",N157="",O157="",P157="",Q157=""),"Incomplete",IF(OR(G157="Evidence required",M157="Evidence required"),"Evidence required",IF(OR(I157="Hypothesis",I157="Observed association",I157="Contradictory or unresolved",Q157&lt;&gt;"Reviewed"),"Review required","Ready for qualified review"))))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75" t="str">
        <x:f>IF(A158="","",IF(OR(B158="",C158="",D158="",E158="",F158="",G158="",H158="",I158="",J158="",K158="",L158="",M158="",N158="",O158="",P158="",Q158=""),"Incomplete",IF(OR(G158="Evidence required",M158="Evidence required"),"Evidence required",IF(OR(I158="Hypothesis",I158="Observed association",I158="Contradictory or unresolved",Q158&lt;&gt;"Reviewed"),"Review required","Ready for qualified review"))))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75" t="str">
        <x:f>IF(A159="","",IF(OR(B159="",C159="",D159="",E159="",F159="",G159="",H159="",I159="",J159="",K159="",L159="",M159="",N159="",O159="",P159="",Q159=""),"Incomplete",IF(OR(G159="Evidence required",M159="Evidence required"),"Evidence required",IF(OR(I159="Hypothesis",I159="Observed association",I159="Contradictory or unresolved",Q159&lt;&gt;"Reviewed"),"Review required","Ready for qualified review"))))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75" t="str">
        <x:f>IF(A160="","",IF(OR(B160="",C160="",D160="",E160="",F160="",G160="",H160="",I160="",J160="",K160="",L160="",M160="",N160="",O160="",P160="",Q160=""),"Incomplete",IF(OR(G160="Evidence required",M160="Evidence required"),"Evidence required",IF(OR(I160="Hypothesis",I160="Observed association",I160="Contradictory or unresolved",Q160&lt;&gt;"Reviewed"),"Review required","Ready for qualified review"))))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75" t="str">
        <x:f>IF(A161="","",IF(OR(B161="",C161="",D161="",E161="",F161="",G161="",H161="",I161="",J161="",K161="",L161="",M161="",N161="",O161="",P161="",Q161=""),"Incomplete",IF(OR(G161="Evidence required",M161="Evidence required"),"Evidence required",IF(OR(I161="Hypothesis",I161="Observed association",I161="Contradictory or unresolved",Q161&lt;&gt;"Reviewed"),"Review required","Ready for qualified review"))))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75" t="str">
        <x:f>IF(A162="","",IF(OR(B162="",C162="",D162="",E162="",F162="",G162="",H162="",I162="",J162="",K162="",L162="",M162="",N162="",O162="",P162="",Q162=""),"Incomplete",IF(OR(G162="Evidence required",M162="Evidence required"),"Evidence required",IF(OR(I162="Hypothesis",I162="Observed association",I162="Contradictory or unresolved",Q162&lt;&gt;"Reviewed"),"Review required","Ready for qualified review"))))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75" t="str">
        <x:f>IF(A163="","",IF(OR(B163="",C163="",D163="",E163="",F163="",G163="",H163="",I163="",J163="",K163="",L163="",M163="",N163="",O163="",P163="",Q163=""),"Incomplete",IF(OR(G163="Evidence required",M163="Evidence required"),"Evidence required",IF(OR(I163="Hypothesis",I163="Observed association",I163="Contradictory or unresolved",Q163&lt;&gt;"Reviewed"),"Review required","Ready for qualified review"))))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75" t="str">
        <x:f>IF(A164="","",IF(OR(B164="",C164="",D164="",E164="",F164="",G164="",H164="",I164="",J164="",K164="",L164="",M164="",N164="",O164="",P164="",Q164=""),"Incomplete",IF(OR(G164="Evidence required",M164="Evidence required"),"Evidence required",IF(OR(I164="Hypothesis",I164="Observed association",I164="Contradictory or unresolved",Q164&lt;&gt;"Reviewed"),"Review required","Ready for qualified review"))))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75" t="str">
        <x:f>IF(A165="","",IF(OR(B165="",C165="",D165="",E165="",F165="",G165="",H165="",I165="",J165="",K165="",L165="",M165="",N165="",O165="",P165="",Q165=""),"Incomplete",IF(OR(G165="Evidence required",M165="Evidence required"),"Evidence required",IF(OR(I165="Hypothesis",I165="Observed association",I165="Contradictory or unresolved",Q165&lt;&gt;"Reviewed"),"Review required","Ready for qualified review"))))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75" t="str">
        <x:f>IF(A166="","",IF(OR(B166="",C166="",D166="",E166="",F166="",G166="",H166="",I166="",J166="",K166="",L166="",M166="",N166="",O166="",P166="",Q166=""),"Incomplete",IF(OR(G166="Evidence required",M166="Evidence required"),"Evidence required",IF(OR(I166="Hypothesis",I166="Observed association",I166="Contradictory or unresolved",Q166&lt;&gt;"Reviewed"),"Review required","Ready for qualified review"))))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75" t="str">
        <x:f>IF(A167="","",IF(OR(B167="",C167="",D167="",E167="",F167="",G167="",H167="",I167="",J167="",K167="",L167="",M167="",N167="",O167="",P167="",Q167=""),"Incomplete",IF(OR(G167="Evidence required",M167="Evidence required"),"Evidence required",IF(OR(I167="Hypothesis",I167="Observed association",I167="Contradictory or unresolved",Q167&lt;&gt;"Reviewed"),"Review required","Ready for qualified review"))))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75" t="str">
        <x:f>IF(A168="","",IF(OR(B168="",C168="",D168="",E168="",F168="",G168="",H168="",I168="",J168="",K168="",L168="",M168="",N168="",O168="",P168="",Q168=""),"Incomplete",IF(OR(G168="Evidence required",M168="Evidence required"),"Evidence required",IF(OR(I168="Hypothesis",I168="Observed association",I168="Contradictory or unresolved",Q168&lt;&gt;"Reviewed"),"Review required","Ready for qualified review"))))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75" t="str">
        <x:f>IF(A169="","",IF(OR(B169="",C169="",D169="",E169="",F169="",G169="",H169="",I169="",J169="",K169="",L169="",M169="",N169="",O169="",P169="",Q169=""),"Incomplete",IF(OR(G169="Evidence required",M169="Evidence required"),"Evidence required",IF(OR(I169="Hypothesis",I169="Observed association",I169="Contradictory or unresolved",Q169&lt;&gt;"Reviewed"),"Review required","Ready for qualified review"))))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75" t="str">
        <x:f>IF(A170="","",IF(OR(B170="",C170="",D170="",E170="",F170="",G170="",H170="",I170="",J170="",K170="",L170="",M170="",N170="",O170="",P170="",Q170=""),"Incomplete",IF(OR(G170="Evidence required",M170="Evidence required"),"Evidence required",IF(OR(I170="Hypothesis",I170="Observed association",I170="Contradictory or unresolved",Q170&lt;&gt;"Reviewed"),"Review required","Ready for qualified review"))))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75" t="str">
        <x:f>IF(A171="","",IF(OR(B171="",C171="",D171="",E171="",F171="",G171="",H171="",I171="",J171="",K171="",L171="",M171="",N171="",O171="",P171="",Q171=""),"Incomplete",IF(OR(G171="Evidence required",M171="Evidence required"),"Evidence required",IF(OR(I171="Hypothesis",I171="Observed association",I171="Contradictory or unresolved",Q171&lt;&gt;"Reviewed"),"Review required","Ready for qualified review"))))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75" t="str">
        <x:f>IF(A172="","",IF(OR(B172="",C172="",D172="",E172="",F172="",G172="",H172="",I172="",J172="",K172="",L172="",M172="",N172="",O172="",P172="",Q172=""),"Incomplete",IF(OR(G172="Evidence required",M172="Evidence required"),"Evidence required",IF(OR(I172="Hypothesis",I172="Observed association",I172="Contradictory or unresolved",Q172&lt;&gt;"Reviewed"),"Review required","Ready for qualified review"))))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75" t="str">
        <x:f>IF(A173="","",IF(OR(B173="",C173="",D173="",E173="",F173="",G173="",H173="",I173="",J173="",K173="",L173="",M173="",N173="",O173="",P173="",Q173=""),"Incomplete",IF(OR(G173="Evidence required",M173="Evidence required"),"Evidence required",IF(OR(I173="Hypothesis",I173="Observed association",I173="Contradictory or unresolved",Q173&lt;&gt;"Reviewed"),"Review required","Ready for qualified review"))))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75" t="str">
        <x:f>IF(A174="","",IF(OR(B174="",C174="",D174="",E174="",F174="",G174="",H174="",I174="",J174="",K174="",L174="",M174="",N174="",O174="",P174="",Q174=""),"Incomplete",IF(OR(G174="Evidence required",M174="Evidence required"),"Evidence required",IF(OR(I174="Hypothesis",I174="Observed association",I174="Contradictory or unresolved",Q174&lt;&gt;"Reviewed"),"Review required","Ready for qualified review"))))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75" t="str">
        <x:f>IF(A175="","",IF(OR(B175="",C175="",D175="",E175="",F175="",G175="",H175="",I175="",J175="",K175="",L175="",M175="",N175="",O175="",P175="",Q175=""),"Incomplete",IF(OR(G175="Evidence required",M175="Evidence required"),"Evidence required",IF(OR(I175="Hypothesis",I175="Observed association",I175="Contradictory or unresolved",Q175&lt;&gt;"Reviewed"),"Review required","Ready for qualified review"))))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75" t="str">
        <x:f>IF(A176="","",IF(OR(B176="",C176="",D176="",E176="",F176="",G176="",H176="",I176="",J176="",K176="",L176="",M176="",N176="",O176="",P176="",Q176=""),"Incomplete",IF(OR(G176="Evidence required",M176="Evidence required"),"Evidence required",IF(OR(I176="Hypothesis",I176="Observed association",I176="Contradictory or unresolved",Q176&lt;&gt;"Reviewed"),"Review required","Ready for qualified review"))))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75" t="str">
        <x:f>IF(A177="","",IF(OR(B177="",C177="",D177="",E177="",F177="",G177="",H177="",I177="",J177="",K177="",L177="",M177="",N177="",O177="",P177="",Q177=""),"Incomplete",IF(OR(G177="Evidence required",M177="Evidence required"),"Evidence required",IF(OR(I177="Hypothesis",I177="Observed association",I177="Contradictory or unresolved",Q177&lt;&gt;"Reviewed"),"Review required","Ready for qualified review"))))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75" t="str">
        <x:f>IF(A178="","",IF(OR(B178="",C178="",D178="",E178="",F178="",G178="",H178="",I178="",J178="",K178="",L178="",M178="",N178="",O178="",P178="",Q178=""),"Incomplete",IF(OR(G178="Evidence required",M178="Evidence required"),"Evidence required",IF(OR(I178="Hypothesis",I178="Observed association",I178="Contradictory or unresolved",Q178&lt;&gt;"Reviewed"),"Review required","Ready for qualified review"))))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75" t="str">
        <x:f>IF(A179="","",IF(OR(B179="",C179="",D179="",E179="",F179="",G179="",H179="",I179="",J179="",K179="",L179="",M179="",N179="",O179="",P179="",Q179=""),"Incomplete",IF(OR(G179="Evidence required",M179="Evidence required"),"Evidence required",IF(OR(I179="Hypothesis",I179="Observed association",I179="Contradictory or unresolved",Q179&lt;&gt;"Reviewed"),"Review required","Ready for qualified review"))))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75" t="str">
        <x:f>IF(A180="","",IF(OR(B180="",C180="",D180="",E180="",F180="",G180="",H180="",I180="",J180="",K180="",L180="",M180="",N180="",O180="",P180="",Q180=""),"Incomplete",IF(OR(G180="Evidence required",M180="Evidence required"),"Evidence required",IF(OR(I180="Hypothesis",I180="Observed association",I180="Contradictory or unresolved",Q180&lt;&gt;"Reviewed"),"Review required","Ready for qualified review"))))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75" t="str">
        <x:f>IF(A181="","",IF(OR(B181="",C181="",D181="",E181="",F181="",G181="",H181="",I181="",J181="",K181="",L181="",M181="",N181="",O181="",P181="",Q181=""),"Incomplete",IF(OR(G181="Evidence required",M181="Evidence required"),"Evidence required",IF(OR(I181="Hypothesis",I181="Observed association",I181="Contradictory or unresolved",Q181&lt;&gt;"Reviewed"),"Review required","Ready for qualified review"))))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75" t="str">
        <x:f>IF(A182="","",IF(OR(B182="",C182="",D182="",E182="",F182="",G182="",H182="",I182="",J182="",K182="",L182="",M182="",N182="",O182="",P182="",Q182=""),"Incomplete",IF(OR(G182="Evidence required",M182="Evidence required"),"Evidence required",IF(OR(I182="Hypothesis",I182="Observed association",I182="Contradictory or unresolved",Q182&lt;&gt;"Reviewed"),"Review required","Ready for qualified review"))))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75" t="str">
        <x:f>IF(A183="","",IF(OR(B183="",C183="",D183="",E183="",F183="",G183="",H183="",I183="",J183="",K183="",L183="",M183="",N183="",O183="",P183="",Q183=""),"Incomplete",IF(OR(G183="Evidence required",M183="Evidence required"),"Evidence required",IF(OR(I183="Hypothesis",I183="Observed association",I183="Contradictory or unresolved",Q183&lt;&gt;"Reviewed"),"Review required","Ready for qualified review"))))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75" t="str">
        <x:f>IF(A184="","",IF(OR(B184="",C184="",D184="",E184="",F184="",G184="",H184="",I184="",J184="",K184="",L184="",M184="",N184="",O184="",P184="",Q184=""),"Incomplete",IF(OR(G184="Evidence required",M184="Evidence required"),"Evidence required",IF(OR(I184="Hypothesis",I184="Observed association",I184="Contradictory or unresolved",Q184&lt;&gt;"Reviewed"),"Review required","Ready for qualified review"))))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75" t="str">
        <x:f>IF(A185="","",IF(OR(B185="",C185="",D185="",E185="",F185="",G185="",H185="",I185="",J185="",K185="",L185="",M185="",N185="",O185="",P185="",Q185=""),"Incomplete",IF(OR(G185="Evidence required",M185="Evidence required"),"Evidence required",IF(OR(I185="Hypothesis",I185="Observed association",I185="Contradictory or unresolved",Q185&lt;&gt;"Reviewed"),"Review required","Ready for qualified review"))))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75" t="str">
        <x:f>IF(A186="","",IF(OR(B186="",C186="",D186="",E186="",F186="",G186="",H186="",I186="",J186="",K186="",L186="",M186="",N186="",O186="",P186="",Q186=""),"Incomplete",IF(OR(G186="Evidence required",M186="Evidence required"),"Evidence required",IF(OR(I186="Hypothesis",I186="Observed association",I186="Contradictory or unresolved",Q186&lt;&gt;"Reviewed"),"Review required","Ready for qualified review"))))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75" t="str">
        <x:f>IF(A187="","",IF(OR(B187="",C187="",D187="",E187="",F187="",G187="",H187="",I187="",J187="",K187="",L187="",M187="",N187="",O187="",P187="",Q187=""),"Incomplete",IF(OR(G187="Evidence required",M187="Evidence required"),"Evidence required",IF(OR(I187="Hypothesis",I187="Observed association",I187="Contradictory or unresolved",Q187&lt;&gt;"Reviewed"),"Review required","Ready for qualified review"))))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75" t="str">
        <x:f>IF(A188="","",IF(OR(B188="",C188="",D188="",E188="",F188="",G188="",H188="",I188="",J188="",K188="",L188="",M188="",N188="",O188="",P188="",Q188=""),"Incomplete",IF(OR(G188="Evidence required",M188="Evidence required"),"Evidence required",IF(OR(I188="Hypothesis",I188="Observed association",I188="Contradictory or unresolved",Q188&lt;&gt;"Reviewed"),"Review required","Ready for qualified review"))))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75" t="str">
        <x:f>IF(A189="","",IF(OR(B189="",C189="",D189="",E189="",F189="",G189="",H189="",I189="",J189="",K189="",L189="",M189="",N189="",O189="",P189="",Q189=""),"Incomplete",IF(OR(G189="Evidence required",M189="Evidence required"),"Evidence required",IF(OR(I189="Hypothesis",I189="Observed association",I189="Contradictory or unresolved",Q189&lt;&gt;"Reviewed"),"Review required","Ready for qualified review"))))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75" t="str">
        <x:f>IF(A190="","",IF(OR(B190="",C190="",D190="",E190="",F190="",G190="",H190="",I190="",J190="",K190="",L190="",M190="",N190="",O190="",P190="",Q190=""),"Incomplete",IF(OR(G190="Evidence required",M190="Evidence required"),"Evidence required",IF(OR(I190="Hypothesis",I190="Observed association",I190="Contradictory or unresolved",Q190&lt;&gt;"Reviewed"),"Review required","Ready for qualified review"))))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75" t="str">
        <x:f>IF(A191="","",IF(OR(B191="",C191="",D191="",E191="",F191="",G191="",H191="",I191="",J191="",K191="",L191="",M191="",N191="",O191="",P191="",Q191=""),"Incomplete",IF(OR(G191="Evidence required",M191="Evidence required"),"Evidence required",IF(OR(I191="Hypothesis",I191="Observed association",I191="Contradictory or unresolved",Q191&lt;&gt;"Reviewed"),"Review required","Ready for qualified review"))))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75" t="str">
        <x:f>IF(A192="","",IF(OR(B192="",C192="",D192="",E192="",F192="",G192="",H192="",I192="",J192="",K192="",L192="",M192="",N192="",O192="",P192="",Q192=""),"Incomplete",IF(OR(G192="Evidence required",M192="Evidence required"),"Evidence required",IF(OR(I192="Hypothesis",I192="Observed association",I192="Contradictory or unresolved",Q192&lt;&gt;"Reviewed"),"Review required","Ready for qualified review"))))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75" t="str">
        <x:f>IF(A193="","",IF(OR(B193="",C193="",D193="",E193="",F193="",G193="",H193="",I193="",J193="",K193="",L193="",M193="",N193="",O193="",P193="",Q193=""),"Incomplete",IF(OR(G193="Evidence required",M193="Evidence required"),"Evidence required",IF(OR(I193="Hypothesis",I193="Observed association",I193="Contradictory or unresolved",Q193&lt;&gt;"Reviewed"),"Review required","Ready for qualified review"))))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75" t="str">
        <x:f>IF(A194="","",IF(OR(B194="",C194="",D194="",E194="",F194="",G194="",H194="",I194="",J194="",K194="",L194="",M194="",N194="",O194="",P194="",Q194=""),"Incomplete",IF(OR(G194="Evidence required",M194="Evidence required"),"Evidence required",IF(OR(I194="Hypothesis",I194="Observed association",I194="Contradictory or unresolved",Q194&lt;&gt;"Reviewed"),"Review required","Ready for qualified review"))))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75" t="str">
        <x:f>IF(A195="","",IF(OR(B195="",C195="",D195="",E195="",F195="",G195="",H195="",I195="",J195="",K195="",L195="",M195="",N195="",O195="",P195="",Q195=""),"Incomplete",IF(OR(G195="Evidence required",M195="Evidence required"),"Evidence required",IF(OR(I195="Hypothesis",I195="Observed association",I195="Contradictory or unresolved",Q195&lt;&gt;"Reviewed"),"Review required","Ready for qualified review"))))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75" t="str">
        <x:f>IF(A196="","",IF(OR(B196="",C196="",D196="",E196="",F196="",G196="",H196="",I196="",J196="",K196="",L196="",M196="",N196="",O196="",P196="",Q196=""),"Incomplete",IF(OR(G196="Evidence required",M196="Evidence required"),"Evidence required",IF(OR(I196="Hypothesis",I196="Observed association",I196="Contradictory or unresolved",Q196&lt;&gt;"Reviewed"),"Review required","Ready for qualified review"))))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75" t="str">
        <x:f>IF(A197="","",IF(OR(B197="",C197="",D197="",E197="",F197="",G197="",H197="",I197="",J197="",K197="",L197="",M197="",N197="",O197="",P197="",Q197=""),"Incomplete",IF(OR(G197="Evidence required",M197="Evidence required"),"Evidence required",IF(OR(I197="Hypothesis",I197="Observed association",I197="Contradictory or unresolved",Q197&lt;&gt;"Reviewed"),"Review required","Ready for qualified review"))))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75" t="str">
        <x:f>IF(A198="","",IF(OR(B198="",C198="",D198="",E198="",F198="",G198="",H198="",I198="",J198="",K198="",L198="",M198="",N198="",O198="",P198="",Q198=""),"Incomplete",IF(OR(G198="Evidence required",M198="Evidence required"),"Evidence required",IF(OR(I198="Hypothesis",I198="Observed association",I198="Contradictory or unresolved",Q198&lt;&gt;"Reviewed"),"Review required","Ready for qualified review"))))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75" t="str">
        <x:f>IF(A199="","",IF(OR(B199="",C199="",D199="",E199="",F199="",G199="",H199="",I199="",J199="",K199="",L199="",M199="",N199="",O199="",P199="",Q199=""),"Incomplete",IF(OR(G199="Evidence required",M199="Evidence required"),"Evidence required",IF(OR(I199="Hypothesis",I199="Observed association",I199="Contradictory or unresolved",Q199&lt;&gt;"Reviewed"),"Review required","Ready for qualified review"))))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75" t="str">
        <x:f>IF(A200="","",IF(OR(B200="",C200="",D200="",E200="",F200="",G200="",H200="",I200="",J200="",K200="",L200="",M200="",N200="",O200="",P200="",Q200=""),"Incomplete",IF(OR(G200="Evidence required",M200="Evidence required"),"Evidence required",IF(OR(I200="Hypothesis",I200="Observed association",I200="Contradictory or unresolved",Q200&lt;&gt;"Reviewed"),"Review required","Ready for qualified review"))))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75" t="str">
        <x:f>IF(A201="","",IF(OR(B201="",C201="",D201="",E201="",F201="",G201="",H201="",I201="",J201="",K201="",L201="",M201="",N201="",O201="",P201="",Q201=""),"Incomplete",IF(OR(G201="Evidence required",M201="Evidence required"),"Evidence required",IF(OR(I201="Hypothesis",I201="Observed association",I201="Contradictory or unresolved",Q201&lt;&gt;"Reviewed"),"Review required","Ready for qualified review"))))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75" t="str">
        <x:f>IF(A202="","",IF(OR(B202="",C202="",D202="",E202="",F202="",G202="",H202="",I202="",J202="",K202="",L202="",M202="",N202="",O202="",P202="",Q202=""),"Incomplete",IF(OR(G202="Evidence required",M202="Evidence required"),"Evidence required",IF(OR(I202="Hypothesis",I202="Observed association",I202="Contradictory or unresolved",Q202&lt;&gt;"Reviewed"),"Review required","Ready for qualified review"))))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75" t="str">
        <x:f>IF(A203="","",IF(OR(B203="",C203="",D203="",E203="",F203="",G203="",H203="",I203="",J203="",K203="",L203="",M203="",N203="",O203="",P203="",Q203=""),"Incomplete",IF(OR(G203="Evidence required",M203="Evidence required"),"Evidence required",IF(OR(I203="Hypothesis",I203="Observed association",I203="Contradictory or unresolved",Q203&lt;&gt;"Reviewed"),"Review required","Ready for qualified review"))))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75" t="str">
        <x:f>IF(A204="","",IF(OR(B204="",C204="",D204="",E204="",F204="",G204="",H204="",I204="",J204="",K204="",L204="",M204="",N204="",O204="",P204="",Q204=""),"Incomplete",IF(OR(G204="Evidence required",M204="Evidence required"),"Evidence required",IF(OR(I204="Hypothesis",I204="Observed association",I204="Contradictory or unresolved",Q204&lt;&gt;"Reviewed"),"Review required","Ready for qualified review"))))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0"/>
      <x:c r="L205" s="70"/>
      <x:c r="M205" s="70"/>
      <x:c r="N205" s="70"/>
      <x:c r="O205" s="70"/>
      <x:c r="P205" s="70"/>
      <x:c r="Q205" s="70"/>
      <x:c r="R205" s="76" t="str">
        <x:f>IF(A205="","",IF(OR(B205="",C205="",D205="",E205="",F205="",G205="",H205="",I205="",J205="",K205="",L205="",M205="",N205="",O205="",P205="",Q205=""),"Incomplete",IF(OR(G205="Evidence required",M205="Evidence required"),"Evidence required",IF(OR(I205="Hypothesis",I205="Observed association",I205="Contradictory or unresolved",Q205&lt;&gt;"Reviewed"),"Review required","Ready for qualified review"))))</x:f>
      </x:c>
    </x:row>
  </x:sheetData>
  <x:mergeCells>
    <x:mergeCell ref="A1:R1"/>
    <x:mergeCell ref="A2:R2"/>
  </x:mergeCells>
  <x:conditionalFormatting sqref="R6:R2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3">
    <x:dataValidation type="list" sqref="B6:B205">
      <x:formula1>"Process-related impurity clearance,Product-related variant control,Viral inactivation,Viral removal,Recovery / process performance,Lifecycle / reuse control,Other"</x:formula1>
    </x:dataValidation>
    <x:dataValidation type="list" sqref="I6:I205">
      <x:formula1>"Hypothesis,Observed association,Designed-study support,Multi-source support,Contradictory or unresolved"</x:formula1>
    </x:dataValidation>
    <x:dataValidation type="list" sqref="Q6:Q205">
      <x:formula1>"Not started,Draft,In review,Reviewed"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8" hidden="0" customWidth="1"/>
    <x:col min="5" max="5" width="38" hidden="0" customWidth="1"/>
    <x:col min="6" max="6" width="34" hidden="0" customWidth="1"/>
    <x:col min="7" max="7" width="34" hidden="0" customWidth="1"/>
    <x:col min="8" max="8" width="38" hidden="0" customWidth="1"/>
    <x:col min="9" max="9" width="23" hidden="0" customWidth="1"/>
    <x:col min="10" max="10" width="26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Preserve provenance, product/process/model scope, analytical limitations, contradiction, and reviewer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Evidence ID</x:v>
      </x:c>
      <x:c r="B5" s="56" t="str">
        <x:v>Evidence type</x:v>
      </x:c>
      <x:c r="C5" s="56" t="str">
        <x:v>Title / controlled record</x:v>
      </x:c>
      <x:c r="D5" s="56" t="str">
        <x:v>Version / date</x:v>
      </x:c>
      <x:c r="E5" s="56" t="str">
        <x:v>Locator / record reference</x:v>
      </x:c>
      <x:c r="F5" s="56" t="str">
        <x:v>Product / process / model scope</x:v>
      </x:c>
      <x:c r="G5" s="56" t="str">
        <x:v>Supports</x:v>
      </x:c>
      <x:c r="H5" s="56" t="str">
        <x:v>Contradicts / limitations</x:v>
      </x:c>
      <x:c r="I5" s="56" t="str">
        <x:v>Evidence strength</x:v>
      </x:c>
      <x:c r="J5" s="56" t="str">
        <x:v>Reviewer role</x:v>
      </x:c>
      <x:c r="K5" s="57" t="str">
        <x:v>Attention</x:v>
      </x:c>
    </x:row>
    <x:row r="6">
      <x:c r="A6" s="68" t="str">
        <x:v>EVD-001</x:v>
      </x:c>
      <x:c r="B6" s="68" t="str">
        <x:v>Official guidance</x:v>
      </x:c>
      <x:c r="C6" s="68" t="str">
        <x:v>ICH Q11</x:v>
      </x:c>
      <x:c r="D6" s="68" t="str">
        <x:v>Current source catalog</x:v>
      </x:c>
      <x:c r="E6" s="68" t="str">
        <x:v>https://database.ich.org/sites/default/files/Q11_Guideline.pdf</x:v>
      </x:c>
      <x:c r="F6" s="68" t="str">
        <x:v>Biotechnology drug-substance development</x:v>
      </x:c>
      <x:c r="G6" s="68" t="str">
        <x:v>Impurity progression and process control-strategy context</x:v>
      </x:c>
      <x:c r="H6" s="68" t="str">
        <x:v>Does not supply a product-specific purification train or ranges</x:v>
      </x:c>
      <x:c r="I6" s="68" t="str">
        <x:v>Multi-source support</x:v>
      </x:c>
      <x:c r="J6" s="68" t="str">
        <x:v>Regulatory CMC</x:v>
      </x:c>
      <x:c r="K6" s="74" t="str">
        <x:f>IF(A6="","",IF(OR(B6="",C6="",D6="",E6="",F6="",G6="",H6="",I6="",J6=""),"Incomplete",IF(E6="Evidence required","Evidence required",IF(OR(I6="Hypothesis",I6="Observed association",I6="Contradictory or unresolved"),"Review required","Ready for qualified review"))))</x:f>
        <x:v>Ready for qualified review</x:v>
      </x:c>
    </x:row>
    <x:row r="7">
      <x:c r="A7" s="69" t="str">
        <x:v>EVD-002</x:v>
      </x:c>
      <x:c r="B7" s="69" t="str">
        <x:v>Official guidance</x:v>
      </x:c>
      <x:c r="C7" s="69" t="str">
        <x:v>ICH Q6B</x:v>
      </x:c>
      <x:c r="D7" s="69" t="str">
        <x:v>Current source catalog</x:v>
      </x:c>
      <x:c r="E7" s="69" t="str">
        <x:v>https://database.ich.org/sites/default/files/Q6B_Guideline.pdf</x:v>
      </x:c>
      <x:c r="F7" s="69" t="str">
        <x:v>Applicable proteins/polypeptides</x:v>
      </x:c>
      <x:c r="G7" s="69" t="str">
        <x:v>Characterization, impurity, specification, and total-control-strategy context</x:v>
      </x:c>
      <x:c r="H7" s="69" t="str">
        <x:v>Product and method applicability require confirmation</x:v>
      </x:c>
      <x:c r="I7" s="69" t="str">
        <x:v>Multi-source support</x:v>
      </x:c>
      <x:c r="J7" s="69" t="str">
        <x:v>Product quality / Regulatory CMC</x:v>
      </x:c>
      <x:c r="K7" s="75" t="str">
        <x:f>IF(A7="","",IF(OR(B7="",C7="",D7="",E7="",F7="",G7="",H7="",I7="",J7=""),"Incomplete",IF(E7="Evidence required","Evidence required",IF(OR(I7="Hypothesis",I7="Observed association",I7="Contradictory or unresolved"),"Review required","Ready for qualified review"))))</x:f>
        <x:v>Ready for qualified review</x:v>
      </x:c>
    </x:row>
    <x:row r="8">
      <x:c r="A8" s="69" t="str">
        <x:v>EVD-003</x:v>
      </x:c>
      <x:c r="B8" s="69" t="str">
        <x:v>Official guidance</x:v>
      </x:c>
      <x:c r="C8" s="69" t="str">
        <x:v>ICH Q5A(R2)</x:v>
      </x:c>
      <x:c r="D8" s="69" t="str">
        <x:v>Final 2023 guideline</x:v>
      </x:c>
      <x:c r="E8" s="69" t="str">
        <x:v>https://database.ich.org/sites/default/files/ICH_Q5A%28R2%29_Guideline_2023_1101.pdf</x:v>
      </x:c>
      <x:c r="F8" s="69" t="str">
        <x:v>Applicable cell-line-derived biotechnology product viral-safety strategy</x:v>
      </x:c>
      <x:c r="G8" s="69" t="str">
        <x:v>Scale-down, step-wise clearance, robustness, prior-knowledge, reuse, and lifecycle principles</x:v>
      </x:c>
      <x:c r="H8" s="69" t="str">
        <x:v>Does not establish product-specific viral safety or a reduction claim</x:v>
      </x:c>
      <x:c r="I8" s="69" t="str">
        <x:v>Multi-source support</x:v>
      </x:c>
      <x:c r="J8" s="69" t="str">
        <x:v>Viral safety / Regulatory CMC</x:v>
      </x:c>
      <x:c r="K8" s="75" t="str">
        <x:f>IF(A8="","",IF(OR(B8="",C8="",D8="",E8="",F8="",G8="",H8="",I8="",J8=""),"Incomplete",IF(E8="Evidence required","Evidence required",IF(OR(I8="Hypothesis",I8="Observed association",I8="Contradictory or unresolved"),"Review required","Ready for qualified review"))))</x:f>
        <x:v>Ready for qualified review</x:v>
      </x:c>
    </x:row>
    <x:row r="9">
      <x:c r="A9" s="69" t="str">
        <x:v>EVD-004</x:v>
      </x:c>
      <x:c r="B9" s="69" t="str">
        <x:v>Analytical study</x:v>
      </x:c>
      <x:c r="C9" s="69" t="str">
        <x:v>Fictional product characterization and structure-function package</x:v>
      </x:c>
      <x:c r="D9" s="69" t="str">
        <x:v>FIC-CHAR-08; fictional</x:v>
      </x:c>
      <x:c r="E9" s="69" t="str">
        <x:v>Controlled site record reference pending</x:v>
      </x:c>
      <x:c r="F9" s="69" t="str">
        <x:v>FIC-MAB-02 product quality</x:v>
      </x:c>
      <x:c r="G9" s="69" t="str">
        <x:v>Current product attributes and orthogonal method context</x:v>
      </x:c>
      <x:c r="H9" s="69" t="str">
        <x:v>Fictional; not a benchmark and not externally reviewed</x:v>
      </x:c>
      <x:c r="I9" s="69" t="str">
        <x:v>Designed-study support</x:v>
      </x:c>
      <x:c r="J9" s="69" t="str">
        <x:v>Analytical development / Product quality</x:v>
      </x:c>
      <x:c r="K9" s="75" t="str">
        <x:f>IF(A9="","",IF(OR(B9="",C9="",D9="",E9="",F9="",G9="",H9="",I9="",J9=""),"Incomplete",IF(E9="Evidence required","Evidence required",IF(OR(I9="Hypothesis",I9="Observed association",I9="Contradictory or unresolved"),"Review required","Ready for qualified review"))))</x:f>
        <x:v>Ready for qualified review</x:v>
      </x:c>
    </x:row>
    <x:row r="10">
      <x:c r="A10" s="69" t="str">
        <x:v>EVD-005</x:v>
      </x:c>
      <x:c r="B10" s="69" t="str">
        <x:v>Controlled study</x:v>
      </x:c>
      <x:c r="C10" s="69" t="str">
        <x:v>Fictional downstream process-characterization report</x:v>
      </x:c>
      <x:c r="D10" s="69" t="str">
        <x:v>FIC-DSP-PC-07; fictional</x:v>
      </x:c>
      <x:c r="E10" s="69" t="str">
        <x:v>Controlled site record reference pending</x:v>
      </x:c>
      <x:c r="F10" s="69" t="str">
        <x:v>DSP-07 current process, materials, scale, and studied conditions</x:v>
      </x:c>
      <x:c r="G10" s="69" t="str">
        <x:v>Selected unit-operation, impurity, product-quality, and recovery relationships</x:v>
      </x:c>
      <x:c r="H10" s="69" t="str">
        <x:v>Does not cover the proposed resin supply/reuse scope</x:v>
      </x:c>
      <x:c r="I10" s="69" t="str">
        <x:v>Designed-study support</x:v>
      </x:c>
      <x:c r="J10" s="69" t="str">
        <x:v>Downstream process development / Statistics</x:v>
      </x:c>
      <x:c r="K10" s="75" t="str">
        <x:f>IF(A10="","",IF(OR(B10="",C10="",D10="",E10="",F10="",G10="",H10="",I10="",J10=""),"Incomplete",IF(E10="Evidence required","Evidence required",IF(OR(I10="Hypothesis",I10="Observed association",I10="Contradictory or unresolved"),"Review required","Ready for qualified review"))))</x:f>
        <x:v>Ready for qualified review</x:v>
      </x:c>
    </x:row>
    <x:row r="11">
      <x:c r="A11" s="69" t="str">
        <x:v>EVD-006</x:v>
      </x:c>
      <x:c r="B11" s="69" t="str">
        <x:v>Manufacturing data</x:v>
      </x:c>
      <x:c r="C11" s="69" t="str">
        <x:v>Fictional continued-verification and mass-balance trend</x:v>
      </x:c>
      <x:c r="D11" s="69" t="str">
        <x:v>FIC-CPV-2026Q2; fictional</x:v>
      </x:c>
      <x:c r="E11" s="69" t="str">
        <x:v>Controlled site record reference pending</x:v>
      </x:c>
      <x:c r="F11" s="69" t="str">
        <x:v>Limited current process history and recent higher HCP-load period</x:v>
      </x:c>
      <x:c r="G11" s="69" t="str">
        <x:v>Step performance, final results, product profile, and recovery trend</x:v>
      </x:c>
      <x:c r="H11" s="69" t="str">
        <x:v>Limited lots, confounding, method coverage, and proposed change not represented</x:v>
      </x:c>
      <x:c r="I11" s="69" t="str">
        <x:v>Observed association</x:v>
      </x:c>
      <x:c r="J11" s="69" t="str">
        <x:v>MSAT / Manufacturing / Statistics</x:v>
      </x:c>
      <x:c r="K11" s="75" t="str">
        <x:f>IF(A11="","",IF(OR(B11="",C11="",D11="",E11="",F11="",G11="",H11="",I11="",J11=""),"Incomplete",IF(E11="Evidence required","Evidence required",IF(OR(I11="Hypothesis",I11="Observed association",I11="Contradictory or unresolved"),"Review required","Ready for qualified review"))))</x:f>
        <x:v>Review required</x:v>
      </x:c>
    </x:row>
    <x:row r="12">
      <x:c r="A12" s="69" t="str">
        <x:v>EVD-007</x:v>
      </x:c>
      <x:c r="B12" s="69" t="str">
        <x:v>Analytical study</x:v>
      </x:c>
      <x:c r="C12" s="69" t="str">
        <x:v>Fictional HCP load and method-coverage assessment</x:v>
      </x:c>
      <x:c r="D12" s="69" t="str">
        <x:v>FIC-HCP-031; fictional</x:v>
      </x:c>
      <x:c r="E12" s="69" t="str">
        <x:v>Controlled site record reference pending</x:v>
      </x:c>
      <x:c r="F12" s="69" t="str">
        <x:v>Harvest, capture pool, and final material for selected lots</x:v>
      </x:c>
      <x:c r="G12" s="69" t="str">
        <x:v>Higher incoming HCP signal and current analytical observations</x:v>
      </x:c>
      <x:c r="H12" s="69" t="str">
        <x:v>Root cause, assay coverage, and representative high-load evidence remain open</x:v>
      </x:c>
      <x:c r="I12" s="69" t="str">
        <x:v>Observed association</x:v>
      </x:c>
      <x:c r="J12" s="69" t="str">
        <x:v>Analytical development / Downstream MSAT</x:v>
      </x:c>
      <x:c r="K12" s="75" t="str">
        <x:f>IF(A12="","",IF(OR(B12="",C12="",D12="",E12="",F12="",G12="",H12="",I12="",J12=""),"Incomplete",IF(E12="Evidence required","Evidence required",IF(OR(I12="Hypothesis",I12="Observed association",I12="Contradictory or unresolved"),"Review required","Ready for qualified review"))))</x:f>
        <x:v>Review required</x:v>
      </x:c>
    </x:row>
    <x:row r="13">
      <x:c r="A13" s="69" t="str">
        <x:v>EVD-008</x:v>
      </x:c>
      <x:c r="B13" s="69" t="str">
        <x:v>Material / supplier evidence</x:v>
      </x:c>
      <x:c r="C13" s="69" t="str">
        <x:v>Fictional capture-resin change and lifecycle package</x:v>
      </x:c>
      <x:c r="D13" s="69" t="str">
        <x:v>FIC-RESIN-CHG-012; fictional</x:v>
      </x:c>
      <x:c r="E13" s="69" t="str">
        <x:v>Controlled site record reference pending</x:v>
      </x:c>
      <x:c r="F13" s="69" t="str">
        <x:v>Proposed capture material, supplier, cleaning, storage, and reuse strategy</x:v>
      </x:c>
      <x:c r="G13" s="69" t="str">
        <x:v>Material/change description and preliminary compatibility evidence</x:v>
      </x:c>
      <x:c r="H13" s="69" t="str">
        <x:v>Equivalence, end-of-use, leachable, product-quality, and viral-safety impact remain open</x:v>
      </x:c>
      <x:c r="I13" s="69" t="str">
        <x:v>Contradictory or unresolved</x:v>
      </x:c>
      <x:c r="J13" s="69" t="str">
        <x:v>Downstream process development / Quality</x:v>
      </x:c>
      <x:c r="K13" s="75" t="str">
        <x:f>IF(A13="","",IF(OR(B13="",C13="",D13="",E13="",F13="",G13="",H13="",I13="",J13=""),"Incomplete",IF(E13="Evidence required","Evidence required",IF(OR(I13="Hypothesis",I13="Observed association",I13="Contradictory or unresolved"),"Review required","Ready for qualified review"))))</x:f>
        <x:v>Review required</x:v>
      </x:c>
    </x:row>
    <x:row r="14">
      <x:c r="A14" s="69" t="str">
        <x:v>EVD-009</x:v>
      </x:c>
      <x:c r="B14" s="69" t="str">
        <x:v>Viral-clearance study</x:v>
      </x:c>
      <x:c r="C14" s="69" t="str">
        <x:v>Fictional controlled viral-clearance strategy and study reports</x:v>
      </x:c>
      <x:c r="D14" s="69" t="str">
        <x:v>FIC-VCS-05; fictional</x:v>
      </x:c>
      <x:c r="E14" s="69" t="str">
        <x:v>Controlled virology report references pending</x:v>
      </x:c>
      <x:c r="F14" s="69" t="str">
        <x:v>Current low-pH and virus-filtration steps, model, intermediates, and study scope</x:v>
      </x:c>
      <x:c r="G14" s="69" t="str">
        <x:v>Current controlled viral inactivation/removal contribution</x:v>
      </x:c>
      <x:c r="H14" s="69" t="str">
        <x:v>No values reproduced; applicability after the proposed change requires qualified review</x:v>
      </x:c>
      <x:c r="I14" s="69" t="str">
        <x:v>Designed-study support</x:v>
      </x:c>
      <x:c r="J14" s="69" t="str">
        <x:v>Viral safety / Regulatory CMC</x:v>
      </x:c>
      <x:c r="K14" s="75" t="str">
        <x:f>IF(A14="","",IF(OR(B14="",C14="",D14="",E14="",F14="",G14="",H14="",I14="",J14=""),"Incomplete",IF(E14="Evidence required","Evidence required",IF(OR(I14="Hypothesis",I14="Observed association",I14="Contradictory or unresolved"),"Review required","Ready for qualified review"))))</x:f>
        <x:v>Ready for qualified review</x:v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75" t="str">
        <x:f>IF(A15="","",IF(OR(B15="",C15="",D15="",E15="",F15="",G15="",H15="",I15="",J15=""),"Incomplete",IF(E15="Evidence required","Evidence required",IF(OR(I15="Hypothesis",I15="Observed association",I15="Contradictory or unresolved"),"Review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75" t="str">
        <x:f>IF(A16="","",IF(OR(B16="",C16="",D16="",E16="",F16="",G16="",H16="",I16="",J16=""),"Incomplete",IF(E16="Evidence required","Evidence required",IF(OR(I16="Hypothesis",I16="Observed association",I16="Contradictory or unresolved"),"Review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75" t="str">
        <x:f>IF(A17="","",IF(OR(B17="",C17="",D17="",E17="",F17="",G17="",H17="",I17="",J17=""),"Incomplete",IF(E17="Evidence required","Evidence required",IF(OR(I17="Hypothesis",I17="Observed association",I17="Contradictory or unresolved"),"Review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75" t="str">
        <x:f>IF(A18="","",IF(OR(B18="",C18="",D18="",E18="",F18="",G18="",H18="",I18="",J18=""),"Incomplete",IF(E18="Evidence required","Evidence required",IF(OR(I18="Hypothesis",I18="Observed association",I18="Contradictory or unresolved"),"Review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75" t="str">
        <x:f>IF(A19="","",IF(OR(B19="",C19="",D19="",E19="",F19="",G19="",H19="",I19="",J19=""),"Incomplete",IF(E19="Evidence required","Evidence required",IF(OR(I19="Hypothesis",I19="Observed association",I19="Contradictory or unresolved"),"Review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75" t="str">
        <x:f>IF(A20="","",IF(OR(B20="",C20="",D20="",E20="",F20="",G20="",H20="",I20="",J20=""),"Incomplete",IF(E20="Evidence required","Evidence required",IF(OR(I20="Hypothesis",I20="Observed association",I20="Contradictory or unresolved"),"Review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75" t="str">
        <x:f>IF(A21="","",IF(OR(B21="",C21="",D21="",E21="",F21="",G21="",H21="",I21="",J21=""),"Incomplete",IF(E21="Evidence required","Evidence required",IF(OR(I21="Hypothesis",I21="Observed association",I21="Contradictory or unresolved"),"Review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75" t="str">
        <x:f>IF(A22="","",IF(OR(B22="",C22="",D22="",E22="",F22="",G22="",H22="",I22="",J22=""),"Incomplete",IF(E22="Evidence required","Evidence required",IF(OR(I22="Hypothesis",I22="Observed association",I22="Contradictory or unresolved"),"Review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75" t="str">
        <x:f>IF(A23="","",IF(OR(B23="",C23="",D23="",E23="",F23="",G23="",H23="",I23="",J23=""),"Incomplete",IF(E23="Evidence required","Evidence required",IF(OR(I23="Hypothesis",I23="Observed association",I23="Contradictory or unresolved"),"Review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75" t="str">
        <x:f>IF(A24="","",IF(OR(B24="",C24="",D24="",E24="",F24="",G24="",H24="",I24="",J24=""),"Incomplete",IF(E24="Evidence required","Evidence required",IF(OR(I24="Hypothesis",I24="Observed association",I24="Contradictory or unresolved"),"Review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75" t="str">
        <x:f>IF(A25="","",IF(OR(B25="",C25="",D25="",E25="",F25="",G25="",H25="",I25="",J25=""),"Incomplete",IF(E25="Evidence required","Evidence required",IF(OR(I25="Hypothesis",I25="Observed association",I25="Contradictory or unresolved"),"Review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75" t="str">
        <x:f>IF(A26="","",IF(OR(B26="",C26="",D26="",E26="",F26="",G26="",H26="",I26="",J26=""),"Incomplete",IF(E26="Evidence required","Evidence required",IF(OR(I26="Hypothesis",I26="Observed association",I26="Contradictory or unresolved"),"Review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75" t="str">
        <x:f>IF(A27="","",IF(OR(B27="",C27="",D27="",E27="",F27="",G27="",H27="",I27="",J27=""),"Incomplete",IF(E27="Evidence required","Evidence required",IF(OR(I27="Hypothesis",I27="Observed association",I27="Contradictory or unresolved"),"Review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75" t="str">
        <x:f>IF(A28="","",IF(OR(B28="",C28="",D28="",E28="",F28="",G28="",H28="",I28="",J28=""),"Incomplete",IF(E28="Evidence required","Evidence required",IF(OR(I28="Hypothesis",I28="Observed association",I28="Contradictory or unresolved"),"Review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75" t="str">
        <x:f>IF(A29="","",IF(OR(B29="",C29="",D29="",E29="",F29="",G29="",H29="",I29="",J29=""),"Incomplete",IF(E29="Evidence required","Evidence required",IF(OR(I29="Hypothesis",I29="Observed association",I29="Contradictory or unresolved"),"Review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75" t="str">
        <x:f>IF(A30="","",IF(OR(B30="",C30="",D30="",E30="",F30="",G30="",H30="",I30="",J30=""),"Incomplete",IF(E30="Evidence required","Evidence required",IF(OR(I30="Hypothesis",I30="Observed association",I30="Contradictory or unresolved"),"Review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75" t="str">
        <x:f>IF(A31="","",IF(OR(B31="",C31="",D31="",E31="",F31="",G31="",H31="",I31="",J31=""),"Incomplete",IF(E31="Evidence required","Evidence required",IF(OR(I31="Hypothesis",I31="Observed association",I31="Contradictory or unresolved"),"Review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75" t="str">
        <x:f>IF(A32="","",IF(OR(B32="",C32="",D32="",E32="",F32="",G32="",H32="",I32="",J32=""),"Incomplete",IF(E32="Evidence required","Evidence required",IF(OR(I32="Hypothesis",I32="Observed association",I32="Contradictory or unresolved"),"Review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75" t="str">
        <x:f>IF(A33="","",IF(OR(B33="",C33="",D33="",E33="",F33="",G33="",H33="",I33="",J33=""),"Incomplete",IF(E33="Evidence required","Evidence required",IF(OR(I33="Hypothesis",I33="Observed association",I33="Contradictory or unresolved"),"Review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75" t="str">
        <x:f>IF(A34="","",IF(OR(B34="",C34="",D34="",E34="",F34="",G34="",H34="",I34="",J34=""),"Incomplete",IF(E34="Evidence required","Evidence required",IF(OR(I34="Hypothesis",I34="Observed association",I34="Contradictory or unresolved"),"Review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75" t="str">
        <x:f>IF(A35="","",IF(OR(B35="",C35="",D35="",E35="",F35="",G35="",H35="",I35="",J35=""),"Incomplete",IF(E35="Evidence required","Evidence required",IF(OR(I35="Hypothesis",I35="Observed association",I35="Contradictory or unresolved"),"Review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75" t="str">
        <x:f>IF(A36="","",IF(OR(B36="",C36="",D36="",E36="",F36="",G36="",H36="",I36="",J36=""),"Incomplete",IF(E36="Evidence required","Evidence required",IF(OR(I36="Hypothesis",I36="Observed association",I36="Contradictory or unresolved"),"Review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75" t="str">
        <x:f>IF(A37="","",IF(OR(B37="",C37="",D37="",E37="",F37="",G37="",H37="",I37="",J37=""),"Incomplete",IF(E37="Evidence required","Evidence required",IF(OR(I37="Hypothesis",I37="Observed association",I37="Contradictory or unresolved"),"Review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75" t="str">
        <x:f>IF(A38="","",IF(OR(B38="",C38="",D38="",E38="",F38="",G38="",H38="",I38="",J38=""),"Incomplete",IF(E38="Evidence required","Evidence required",IF(OR(I38="Hypothesis",I38="Observed association",I38="Contradictory or unresolved"),"Review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75" t="str">
        <x:f>IF(A39="","",IF(OR(B39="",C39="",D39="",E39="",F39="",G39="",H39="",I39="",J39=""),"Incomplete",IF(E39="Evidence required","Evidence required",IF(OR(I39="Hypothesis",I39="Observed association",I39="Contradictory or unresolved"),"Review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75" t="str">
        <x:f>IF(A40="","",IF(OR(B40="",C40="",D40="",E40="",F40="",G40="",H40="",I40="",J40=""),"Incomplete",IF(E40="Evidence required","Evidence required",IF(OR(I40="Hypothesis",I40="Observed association",I40="Contradictory or unresolved"),"Review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75" t="str">
        <x:f>IF(A41="","",IF(OR(B41="",C41="",D41="",E41="",F41="",G41="",H41="",I41="",J41=""),"Incomplete",IF(E41="Evidence required","Evidence required",IF(OR(I41="Hypothesis",I41="Observed association",I41="Contradictory or unresolved"),"Review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75" t="str">
        <x:f>IF(A42="","",IF(OR(B42="",C42="",D42="",E42="",F42="",G42="",H42="",I42="",J42=""),"Incomplete",IF(E42="Evidence required","Evidence required",IF(OR(I42="Hypothesis",I42="Observed association",I42="Contradictory or unresolved"),"Review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75" t="str">
        <x:f>IF(A43="","",IF(OR(B43="",C43="",D43="",E43="",F43="",G43="",H43="",I43="",J43=""),"Incomplete",IF(E43="Evidence required","Evidence required",IF(OR(I43="Hypothesis",I43="Observed association",I43="Contradictory or unresolved"),"Review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75" t="str">
        <x:f>IF(A44="","",IF(OR(B44="",C44="",D44="",E44="",F44="",G44="",H44="",I44="",J44=""),"Incomplete",IF(E44="Evidence required","Evidence required",IF(OR(I44="Hypothesis",I44="Observed association",I44="Contradictory or unresolved"),"Review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75" t="str">
        <x:f>IF(A45="","",IF(OR(B45="",C45="",D45="",E45="",F45="",G45="",H45="",I45="",J45=""),"Incomplete",IF(E45="Evidence required","Evidence required",IF(OR(I45="Hypothesis",I45="Observed association",I45="Contradictory or unresolved"),"Review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75" t="str">
        <x:f>IF(A46="","",IF(OR(B46="",C46="",D46="",E46="",F46="",G46="",H46="",I46="",J46=""),"Incomplete",IF(E46="Evidence required","Evidence required",IF(OR(I46="Hypothesis",I46="Observed association",I46="Contradictory or unresolved"),"Review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75" t="str">
        <x:f>IF(A47="","",IF(OR(B47="",C47="",D47="",E47="",F47="",G47="",H47="",I47="",J47=""),"Incomplete",IF(E47="Evidence required","Evidence required",IF(OR(I47="Hypothesis",I47="Observed association",I47="Contradictory or unresolved"),"Review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75" t="str">
        <x:f>IF(A48="","",IF(OR(B48="",C48="",D48="",E48="",F48="",G48="",H48="",I48="",J48=""),"Incomplete",IF(E48="Evidence required","Evidence required",IF(OR(I48="Hypothesis",I48="Observed association",I48="Contradictory or unresolved"),"Review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75" t="str">
        <x:f>IF(A49="","",IF(OR(B49="",C49="",D49="",E49="",F49="",G49="",H49="",I49="",J49=""),"Incomplete",IF(E49="Evidence required","Evidence required",IF(OR(I49="Hypothesis",I49="Observed association",I49="Contradictory or unresolved"),"Review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75" t="str">
        <x:f>IF(A50="","",IF(OR(B50="",C50="",D50="",E50="",F50="",G50="",H50="",I50="",J50=""),"Incomplete",IF(E50="Evidence required","Evidence required",IF(OR(I50="Hypothesis",I50="Observed association",I50="Contradictory or unresolved"),"Review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75" t="str">
        <x:f>IF(A51="","",IF(OR(B51="",C51="",D51="",E51="",F51="",G51="",H51="",I51="",J51=""),"Incomplete",IF(E51="Evidence required","Evidence required",IF(OR(I51="Hypothesis",I51="Observed association",I51="Contradictory or unresolved"),"Review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75" t="str">
        <x:f>IF(A52="","",IF(OR(B52="",C52="",D52="",E52="",F52="",G52="",H52="",I52="",J52=""),"Incomplete",IF(E52="Evidence required","Evidence required",IF(OR(I52="Hypothesis",I52="Observed association",I52="Contradictory or unresolved"),"Review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75" t="str">
        <x:f>IF(A53="","",IF(OR(B53="",C53="",D53="",E53="",F53="",G53="",H53="",I53="",J53=""),"Incomplete",IF(E53="Evidence required","Evidence required",IF(OR(I53="Hypothesis",I53="Observed association",I53="Contradictory or unresolved"),"Review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75" t="str">
        <x:f>IF(A54="","",IF(OR(B54="",C54="",D54="",E54="",F54="",G54="",H54="",I54="",J54=""),"Incomplete",IF(E54="Evidence required","Evidence required",IF(OR(I54="Hypothesis",I54="Observed association",I54="Contradictory or unresolved"),"Review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75" t="str">
        <x:f>IF(A55="","",IF(OR(B55="",C55="",D55="",E55="",F55="",G55="",H55="",I55="",J55=""),"Incomplete",IF(E55="Evidence required","Evidence required",IF(OR(I55="Hypothesis",I55="Observed association",I55="Contradictory or unresolved"),"Review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75" t="str">
        <x:f>IF(A56="","",IF(OR(B56="",C56="",D56="",E56="",F56="",G56="",H56="",I56="",J56=""),"Incomplete",IF(E56="Evidence required","Evidence required",IF(OR(I56="Hypothesis",I56="Observed association",I56="Contradictory or unresolved"),"Review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75" t="str">
        <x:f>IF(A57="","",IF(OR(B57="",C57="",D57="",E57="",F57="",G57="",H57="",I57="",J57=""),"Incomplete",IF(E57="Evidence required","Evidence required",IF(OR(I57="Hypothesis",I57="Observed association",I57="Contradictory or unresolved"),"Review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75" t="str">
        <x:f>IF(A58="","",IF(OR(B58="",C58="",D58="",E58="",F58="",G58="",H58="",I58="",J58=""),"Incomplete",IF(E58="Evidence required","Evidence required",IF(OR(I58="Hypothesis",I58="Observed association",I58="Contradictory or unresolved"),"Review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75" t="str">
        <x:f>IF(A59="","",IF(OR(B59="",C59="",D59="",E59="",F59="",G59="",H59="",I59="",J59=""),"Incomplete",IF(E59="Evidence required","Evidence required",IF(OR(I59="Hypothesis",I59="Observed association",I59="Contradictory or unresolved"),"Review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75" t="str">
        <x:f>IF(A60="","",IF(OR(B60="",C60="",D60="",E60="",F60="",G60="",H60="",I60="",J60=""),"Incomplete",IF(E60="Evidence required","Evidence required",IF(OR(I60="Hypothesis",I60="Observed association",I60="Contradictory or unresolved"),"Review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75" t="str">
        <x:f>IF(A61="","",IF(OR(B61="",C61="",D61="",E61="",F61="",G61="",H61="",I61="",J61=""),"Incomplete",IF(E61="Evidence required","Evidence required",IF(OR(I61="Hypothesis",I61="Observed association",I61="Contradictory or unresolved"),"Review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75" t="str">
        <x:f>IF(A62="","",IF(OR(B62="",C62="",D62="",E62="",F62="",G62="",H62="",I62="",J62=""),"Incomplete",IF(E62="Evidence required","Evidence required",IF(OR(I62="Hypothesis",I62="Observed association",I62="Contradictory or unresolved"),"Review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75" t="str">
        <x:f>IF(A63="","",IF(OR(B63="",C63="",D63="",E63="",F63="",G63="",H63="",I63="",J63=""),"Incomplete",IF(E63="Evidence required","Evidence required",IF(OR(I63="Hypothesis",I63="Observed association",I63="Contradictory or unresolved"),"Review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75" t="str">
        <x:f>IF(A64="","",IF(OR(B64="",C64="",D64="",E64="",F64="",G64="",H64="",I64="",J64=""),"Incomplete",IF(E64="Evidence required","Evidence required",IF(OR(I64="Hypothesis",I64="Observed association",I64="Contradictory or unresolved"),"Review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75" t="str">
        <x:f>IF(A65="","",IF(OR(B65="",C65="",D65="",E65="",F65="",G65="",H65="",I65="",J65=""),"Incomplete",IF(E65="Evidence required","Evidence required",IF(OR(I65="Hypothesis",I65="Observed association",I65="Contradictory or unresolved"),"Review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75" t="str">
        <x:f>IF(A66="","",IF(OR(B66="",C66="",D66="",E66="",F66="",G66="",H66="",I66="",J66=""),"Incomplete",IF(E66="Evidence required","Evidence required",IF(OR(I66="Hypothesis",I66="Observed association",I66="Contradictory or unresolved"),"Review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75" t="str">
        <x:f>IF(A67="","",IF(OR(B67="",C67="",D67="",E67="",F67="",G67="",H67="",I67="",J67=""),"Incomplete",IF(E67="Evidence required","Evidence required",IF(OR(I67="Hypothesis",I67="Observed association",I67="Contradictory or unresolved"),"Review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75" t="str">
        <x:f>IF(A68="","",IF(OR(B68="",C68="",D68="",E68="",F68="",G68="",H68="",I68="",J68=""),"Incomplete",IF(E68="Evidence required","Evidence required",IF(OR(I68="Hypothesis",I68="Observed association",I68="Contradictory or unresolved"),"Review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75" t="str">
        <x:f>IF(A69="","",IF(OR(B69="",C69="",D69="",E69="",F69="",G69="",H69="",I69="",J69=""),"Incomplete",IF(E69="Evidence required","Evidence required",IF(OR(I69="Hypothesis",I69="Observed association",I69="Contradictory or unresolved"),"Review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75" t="str">
        <x:f>IF(A70="","",IF(OR(B70="",C70="",D70="",E70="",F70="",G70="",H70="",I70="",J70=""),"Incomplete",IF(E70="Evidence required","Evidence required",IF(OR(I70="Hypothesis",I70="Observed association",I70="Contradictory or unresolved"),"Review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75" t="str">
        <x:f>IF(A71="","",IF(OR(B71="",C71="",D71="",E71="",F71="",G71="",H71="",I71="",J71=""),"Incomplete",IF(E71="Evidence required","Evidence required",IF(OR(I71="Hypothesis",I71="Observed association",I71="Contradictory or unresolved"),"Review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75" t="str">
        <x:f>IF(A72="","",IF(OR(B72="",C72="",D72="",E72="",F72="",G72="",H72="",I72="",J72=""),"Incomplete",IF(E72="Evidence required","Evidence required",IF(OR(I72="Hypothesis",I72="Observed association",I72="Contradictory or unresolved"),"Review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75" t="str">
        <x:f>IF(A73="","",IF(OR(B73="",C73="",D73="",E73="",F73="",G73="",H73="",I73="",J73=""),"Incomplete",IF(E73="Evidence required","Evidence required",IF(OR(I73="Hypothesis",I73="Observed association",I73="Contradictory or unresolved"),"Review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75" t="str">
        <x:f>IF(A74="","",IF(OR(B74="",C74="",D74="",E74="",F74="",G74="",H74="",I74="",J74=""),"Incomplete",IF(E74="Evidence required","Evidence required",IF(OR(I74="Hypothesis",I74="Observed association",I74="Contradictory or unresolved"),"Review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75" t="str">
        <x:f>IF(A75="","",IF(OR(B75="",C75="",D75="",E75="",F75="",G75="",H75="",I75="",J75=""),"Incomplete",IF(E75="Evidence required","Evidence required",IF(OR(I75="Hypothesis",I75="Observed association",I75="Contradictory or unresolved"),"Review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75" t="str">
        <x:f>IF(A76="","",IF(OR(B76="",C76="",D76="",E76="",F76="",G76="",H76="",I76="",J76=""),"Incomplete",IF(E76="Evidence required","Evidence required",IF(OR(I76="Hypothesis",I76="Observed association",I76="Contradictory or unresolved"),"Review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75" t="str">
        <x:f>IF(A77="","",IF(OR(B77="",C77="",D77="",E77="",F77="",G77="",H77="",I77="",J77=""),"Incomplete",IF(E77="Evidence required","Evidence required",IF(OR(I77="Hypothesis",I77="Observed association",I77="Contradictory or unresolved"),"Review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75" t="str">
        <x:f>IF(A78="","",IF(OR(B78="",C78="",D78="",E78="",F78="",G78="",H78="",I78="",J78=""),"Incomplete",IF(E78="Evidence required","Evidence required",IF(OR(I78="Hypothesis",I78="Observed association",I78="Contradictory or unresolved"),"Review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75" t="str">
        <x:f>IF(A79="","",IF(OR(B79="",C79="",D79="",E79="",F79="",G79="",H79="",I79="",J79=""),"Incomplete",IF(E79="Evidence required","Evidence required",IF(OR(I79="Hypothesis",I79="Observed association",I79="Contradictory or unresolved"),"Review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75" t="str">
        <x:f>IF(A80="","",IF(OR(B80="",C80="",D80="",E80="",F80="",G80="",H80="",I80="",J80=""),"Incomplete",IF(E80="Evidence required","Evidence required",IF(OR(I80="Hypothesis",I80="Observed association",I80="Contradictory or unresolved"),"Review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75" t="str">
        <x:f>IF(A81="","",IF(OR(B81="",C81="",D81="",E81="",F81="",G81="",H81="",I81="",J81=""),"Incomplete",IF(E81="Evidence required","Evidence required",IF(OR(I81="Hypothesis",I81="Observed association",I81="Contradictory or unresolved"),"Review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75" t="str">
        <x:f>IF(A82="","",IF(OR(B82="",C82="",D82="",E82="",F82="",G82="",H82="",I82="",J82=""),"Incomplete",IF(E82="Evidence required","Evidence required",IF(OR(I82="Hypothesis",I82="Observed association",I82="Contradictory or unresolved"),"Review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75" t="str">
        <x:f>IF(A83="","",IF(OR(B83="",C83="",D83="",E83="",F83="",G83="",H83="",I83="",J83=""),"Incomplete",IF(E83="Evidence required","Evidence required",IF(OR(I83="Hypothesis",I83="Observed association",I83="Contradictory or unresolved"),"Review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75" t="str">
        <x:f>IF(A84="","",IF(OR(B84="",C84="",D84="",E84="",F84="",G84="",H84="",I84="",J84=""),"Incomplete",IF(E84="Evidence required","Evidence required",IF(OR(I84="Hypothesis",I84="Observed association",I84="Contradictory or unresolved"),"Review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75" t="str">
        <x:f>IF(A85="","",IF(OR(B85="",C85="",D85="",E85="",F85="",G85="",H85="",I85="",J85=""),"Incomplete",IF(E85="Evidence required","Evidence required",IF(OR(I85="Hypothesis",I85="Observed association",I85="Contradictory or unresolved"),"Review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75" t="str">
        <x:f>IF(A86="","",IF(OR(B86="",C86="",D86="",E86="",F86="",G86="",H86="",I86="",J86=""),"Incomplete",IF(E86="Evidence required","Evidence required",IF(OR(I86="Hypothesis",I86="Observed association",I86="Contradictory or unresolved"),"Review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75" t="str">
        <x:f>IF(A87="","",IF(OR(B87="",C87="",D87="",E87="",F87="",G87="",H87="",I87="",J87=""),"Incomplete",IF(E87="Evidence required","Evidence required",IF(OR(I87="Hypothesis",I87="Observed association",I87="Contradictory or unresolved"),"Review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75" t="str">
        <x:f>IF(A88="","",IF(OR(B88="",C88="",D88="",E88="",F88="",G88="",H88="",I88="",J88=""),"Incomplete",IF(E88="Evidence required","Evidence required",IF(OR(I88="Hypothesis",I88="Observed association",I88="Contradictory or unresolved"),"Review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75" t="str">
        <x:f>IF(A89="","",IF(OR(B89="",C89="",D89="",E89="",F89="",G89="",H89="",I89="",J89=""),"Incomplete",IF(E89="Evidence required","Evidence required",IF(OR(I89="Hypothesis",I89="Observed association",I89="Contradictory or unresolved"),"Review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75" t="str">
        <x:f>IF(A90="","",IF(OR(B90="",C90="",D90="",E90="",F90="",G90="",H90="",I90="",J90=""),"Incomplete",IF(E90="Evidence required","Evidence required",IF(OR(I90="Hypothesis",I90="Observed association",I90="Contradictory or unresolved"),"Review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75" t="str">
        <x:f>IF(A91="","",IF(OR(B91="",C91="",D91="",E91="",F91="",G91="",H91="",I91="",J91=""),"Incomplete",IF(E91="Evidence required","Evidence required",IF(OR(I91="Hypothesis",I91="Observed association",I91="Contradictory or unresolved"),"Review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75" t="str">
        <x:f>IF(A92="","",IF(OR(B92="",C92="",D92="",E92="",F92="",G92="",H92="",I92="",J92=""),"Incomplete",IF(E92="Evidence required","Evidence required",IF(OR(I92="Hypothesis",I92="Observed association",I92="Contradictory or unresolved"),"Review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75" t="str">
        <x:f>IF(A93="","",IF(OR(B93="",C93="",D93="",E93="",F93="",G93="",H93="",I93="",J93=""),"Incomplete",IF(E93="Evidence required","Evidence required",IF(OR(I93="Hypothesis",I93="Observed association",I93="Contradictory or unresolved"),"Review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75" t="str">
        <x:f>IF(A94="","",IF(OR(B94="",C94="",D94="",E94="",F94="",G94="",H94="",I94="",J94=""),"Incomplete",IF(E94="Evidence required","Evidence required",IF(OR(I94="Hypothesis",I94="Observed association",I94="Contradictory or unresolved"),"Review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75" t="str">
        <x:f>IF(A95="","",IF(OR(B95="",C95="",D95="",E95="",F95="",G95="",H95="",I95="",J95=""),"Incomplete",IF(E95="Evidence required","Evidence required",IF(OR(I95="Hypothesis",I95="Observed association",I95="Contradictory or unresolved"),"Review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75" t="str">
        <x:f>IF(A96="","",IF(OR(B96="",C96="",D96="",E96="",F96="",G96="",H96="",I96="",J96=""),"Incomplete",IF(E96="Evidence required","Evidence required",IF(OR(I96="Hypothesis",I96="Observed association",I96="Contradictory or unresolved"),"Review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75" t="str">
        <x:f>IF(A97="","",IF(OR(B97="",C97="",D97="",E97="",F97="",G97="",H97="",I97="",J97=""),"Incomplete",IF(E97="Evidence required","Evidence required",IF(OR(I97="Hypothesis",I97="Observed association",I97="Contradictory or unresolved"),"Review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75" t="str">
        <x:f>IF(A98="","",IF(OR(B98="",C98="",D98="",E98="",F98="",G98="",H98="",I98="",J98=""),"Incomplete",IF(E98="Evidence required","Evidence required",IF(OR(I98="Hypothesis",I98="Observed association",I98="Contradictory or unresolved"),"Review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75" t="str">
        <x:f>IF(A99="","",IF(OR(B99="",C99="",D99="",E99="",F99="",G99="",H99="",I99="",J99=""),"Incomplete",IF(E99="Evidence required","Evidence required",IF(OR(I99="Hypothesis",I99="Observed association",I99="Contradictory or unresolved"),"Review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75" t="str">
        <x:f>IF(A100="","",IF(OR(B100="",C100="",D100="",E100="",F100="",G100="",H100="",I100="",J100=""),"Incomplete",IF(E100="Evidence required","Evidence required",IF(OR(I100="Hypothesis",I100="Observed association",I100="Contradictory or unresolved"),"Review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75" t="str">
        <x:f>IF(A101="","",IF(OR(B101="",C101="",D101="",E101="",F101="",G101="",H101="",I101="",J101=""),"Incomplete",IF(E101="Evidence required","Evidence required",IF(OR(I101="Hypothesis",I101="Observed association",I101="Contradictory or unresolved"),"Review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75" t="str">
        <x:f>IF(A102="","",IF(OR(B102="",C102="",D102="",E102="",F102="",G102="",H102="",I102="",J102=""),"Incomplete",IF(E102="Evidence required","Evidence required",IF(OR(I102="Hypothesis",I102="Observed association",I102="Contradictory or unresolved"),"Review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75" t="str">
        <x:f>IF(A103="","",IF(OR(B103="",C103="",D103="",E103="",F103="",G103="",H103="",I103="",J103=""),"Incomplete",IF(E103="Evidence required","Evidence required",IF(OR(I103="Hypothesis",I103="Observed association",I103="Contradictory or unresolved"),"Review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75" t="str">
        <x:f>IF(A104="","",IF(OR(B104="",C104="",D104="",E104="",F104="",G104="",H104="",I104="",J104=""),"Incomplete",IF(E104="Evidence required","Evidence required",IF(OR(I104="Hypothesis",I104="Observed association",I104="Contradictory or unresolved"),"Review required","Ready for qualified review"))))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75" t="str">
        <x:f>IF(A105="","",IF(OR(B105="",C105="",D105="",E105="",F105="",G105="",H105="",I105="",J105=""),"Incomplete",IF(E105="Evidence required","Evidence required",IF(OR(I105="Hypothesis",I105="Observed association",I105="Contradictory or unresolved"),"Review required","Ready for qualified review"))))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75" t="str">
        <x:f>IF(A106="","",IF(OR(B106="",C106="",D106="",E106="",F106="",G106="",H106="",I106="",J106=""),"Incomplete",IF(E106="Evidence required","Evidence required",IF(OR(I106="Hypothesis",I106="Observed association",I106="Contradictory or unresolved"),"Review required","Ready for qualified review"))))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75" t="str">
        <x:f>IF(A107="","",IF(OR(B107="",C107="",D107="",E107="",F107="",G107="",H107="",I107="",J107=""),"Incomplete",IF(E107="Evidence required","Evidence required",IF(OR(I107="Hypothesis",I107="Observed association",I107="Contradictory or unresolved"),"Review required","Ready for qualified review"))))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75" t="str">
        <x:f>IF(A108="","",IF(OR(B108="",C108="",D108="",E108="",F108="",G108="",H108="",I108="",J108=""),"Incomplete",IF(E108="Evidence required","Evidence required",IF(OR(I108="Hypothesis",I108="Observed association",I108="Contradictory or unresolved"),"Review required","Ready for qualified review"))))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75" t="str">
        <x:f>IF(A109="","",IF(OR(B109="",C109="",D109="",E109="",F109="",G109="",H109="",I109="",J109=""),"Incomplete",IF(E109="Evidence required","Evidence required",IF(OR(I109="Hypothesis",I109="Observed association",I109="Contradictory or unresolved"),"Review required","Ready for qualified review"))))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75" t="str">
        <x:f>IF(A110="","",IF(OR(B110="",C110="",D110="",E110="",F110="",G110="",H110="",I110="",J110=""),"Incomplete",IF(E110="Evidence required","Evidence required",IF(OR(I110="Hypothesis",I110="Observed association",I110="Contradictory or unresolved"),"Review required","Ready for qualified review"))))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75" t="str">
        <x:f>IF(A111="","",IF(OR(B111="",C111="",D111="",E111="",F111="",G111="",H111="",I111="",J111=""),"Incomplete",IF(E111="Evidence required","Evidence required",IF(OR(I111="Hypothesis",I111="Observed association",I111="Contradictory or unresolved"),"Review required","Ready for qualified review"))))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75" t="str">
        <x:f>IF(A112="","",IF(OR(B112="",C112="",D112="",E112="",F112="",G112="",H112="",I112="",J112=""),"Incomplete",IF(E112="Evidence required","Evidence required",IF(OR(I112="Hypothesis",I112="Observed association",I112="Contradictory or unresolved"),"Review required","Ready for qualified review"))))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75" t="str">
        <x:f>IF(A113="","",IF(OR(B113="",C113="",D113="",E113="",F113="",G113="",H113="",I113="",J113=""),"Incomplete",IF(E113="Evidence required","Evidence required",IF(OR(I113="Hypothesis",I113="Observed association",I113="Contradictory or unresolved"),"Review required","Ready for qualified review"))))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75" t="str">
        <x:f>IF(A114="","",IF(OR(B114="",C114="",D114="",E114="",F114="",G114="",H114="",I114="",J114=""),"Incomplete",IF(E114="Evidence required","Evidence required",IF(OR(I114="Hypothesis",I114="Observed association",I114="Contradictory or unresolved"),"Review required","Ready for qualified review"))))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75" t="str">
        <x:f>IF(A115="","",IF(OR(B115="",C115="",D115="",E115="",F115="",G115="",H115="",I115="",J115=""),"Incomplete",IF(E115="Evidence required","Evidence required",IF(OR(I115="Hypothesis",I115="Observed association",I115="Contradictory or unresolved"),"Review required","Ready for qualified review"))))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75" t="str">
        <x:f>IF(A116="","",IF(OR(B116="",C116="",D116="",E116="",F116="",G116="",H116="",I116="",J116=""),"Incomplete",IF(E116="Evidence required","Evidence required",IF(OR(I116="Hypothesis",I116="Observed association",I116="Contradictory or unresolved"),"Review required","Ready for qualified review"))))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75" t="str">
        <x:f>IF(A117="","",IF(OR(B117="",C117="",D117="",E117="",F117="",G117="",H117="",I117="",J117=""),"Incomplete",IF(E117="Evidence required","Evidence required",IF(OR(I117="Hypothesis",I117="Observed association",I117="Contradictory or unresolved"),"Review required","Ready for qualified review"))))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75" t="str">
        <x:f>IF(A118="","",IF(OR(B118="",C118="",D118="",E118="",F118="",G118="",H118="",I118="",J118=""),"Incomplete",IF(E118="Evidence required","Evidence required",IF(OR(I118="Hypothesis",I118="Observed association",I118="Contradictory or unresolved"),"Review required","Ready for qualified review"))))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75" t="str">
        <x:f>IF(A119="","",IF(OR(B119="",C119="",D119="",E119="",F119="",G119="",H119="",I119="",J119=""),"Incomplete",IF(E119="Evidence required","Evidence required",IF(OR(I119="Hypothesis",I119="Observed association",I119="Contradictory or unresolved"),"Review required","Ready for qualified review"))))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75" t="str">
        <x:f>IF(A120="","",IF(OR(B120="",C120="",D120="",E120="",F120="",G120="",H120="",I120="",J120=""),"Incomplete",IF(E120="Evidence required","Evidence required",IF(OR(I120="Hypothesis",I120="Observed association",I120="Contradictory or unresolved"),"Review required","Ready for qualified review"))))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75" t="str">
        <x:f>IF(A121="","",IF(OR(B121="",C121="",D121="",E121="",F121="",G121="",H121="",I121="",J121=""),"Incomplete",IF(E121="Evidence required","Evidence required",IF(OR(I121="Hypothesis",I121="Observed association",I121="Contradictory or unresolved"),"Review required","Ready for qualified review"))))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75" t="str">
        <x:f>IF(A122="","",IF(OR(B122="",C122="",D122="",E122="",F122="",G122="",H122="",I122="",J122=""),"Incomplete",IF(E122="Evidence required","Evidence required",IF(OR(I122="Hypothesis",I122="Observed association",I122="Contradictory or unresolved"),"Review required","Ready for qualified review"))))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75" t="str">
        <x:f>IF(A123="","",IF(OR(B123="",C123="",D123="",E123="",F123="",G123="",H123="",I123="",J123=""),"Incomplete",IF(E123="Evidence required","Evidence required",IF(OR(I123="Hypothesis",I123="Observed association",I123="Contradictory or unresolved"),"Review required","Ready for qualified review"))))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75" t="str">
        <x:f>IF(A124="","",IF(OR(B124="",C124="",D124="",E124="",F124="",G124="",H124="",I124="",J124=""),"Incomplete",IF(E124="Evidence required","Evidence required",IF(OR(I124="Hypothesis",I124="Observed association",I124="Contradictory or unresolved"),"Review required","Ready for qualified review"))))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75" t="str">
        <x:f>IF(A125="","",IF(OR(B125="",C125="",D125="",E125="",F125="",G125="",H125="",I125="",J125=""),"Incomplete",IF(E125="Evidence required","Evidence required",IF(OR(I125="Hypothesis",I125="Observed association",I125="Contradictory or unresolved"),"Review required","Ready for qualified review"))))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75" t="str">
        <x:f>IF(A126="","",IF(OR(B126="",C126="",D126="",E126="",F126="",G126="",H126="",I126="",J126=""),"Incomplete",IF(E126="Evidence required","Evidence required",IF(OR(I126="Hypothesis",I126="Observed association",I126="Contradictory or unresolved"),"Review required","Ready for qualified review"))))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75" t="str">
        <x:f>IF(A127="","",IF(OR(B127="",C127="",D127="",E127="",F127="",G127="",H127="",I127="",J127=""),"Incomplete",IF(E127="Evidence required","Evidence required",IF(OR(I127="Hypothesis",I127="Observed association",I127="Contradictory or unresolved"),"Review required","Ready for qualified review"))))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75" t="str">
        <x:f>IF(A128="","",IF(OR(B128="",C128="",D128="",E128="",F128="",G128="",H128="",I128="",J128=""),"Incomplete",IF(E128="Evidence required","Evidence required",IF(OR(I128="Hypothesis",I128="Observed association",I128="Contradictory or unresolved"),"Review required","Ready for qualified review"))))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75" t="str">
        <x:f>IF(A129="","",IF(OR(B129="",C129="",D129="",E129="",F129="",G129="",H129="",I129="",J129=""),"Incomplete",IF(E129="Evidence required","Evidence required",IF(OR(I129="Hypothesis",I129="Observed association",I129="Contradictory or unresolved"),"Review required","Ready for qualified review"))))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75" t="str">
        <x:f>IF(A130="","",IF(OR(B130="",C130="",D130="",E130="",F130="",G130="",H130="",I130="",J130=""),"Incomplete",IF(E130="Evidence required","Evidence required",IF(OR(I130="Hypothesis",I130="Observed association",I130="Contradictory or unresolved"),"Review required","Ready for qualified review"))))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75" t="str">
        <x:f>IF(A131="","",IF(OR(B131="",C131="",D131="",E131="",F131="",G131="",H131="",I131="",J131=""),"Incomplete",IF(E131="Evidence required","Evidence required",IF(OR(I131="Hypothesis",I131="Observed association",I131="Contradictory or unresolved"),"Review required","Ready for qualified review"))))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75" t="str">
        <x:f>IF(A132="","",IF(OR(B132="",C132="",D132="",E132="",F132="",G132="",H132="",I132="",J132=""),"Incomplete",IF(E132="Evidence required","Evidence required",IF(OR(I132="Hypothesis",I132="Observed association",I132="Contradictory or unresolved"),"Review required","Ready for qualified review"))))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75" t="str">
        <x:f>IF(A133="","",IF(OR(B133="",C133="",D133="",E133="",F133="",G133="",H133="",I133="",J133=""),"Incomplete",IF(E133="Evidence required","Evidence required",IF(OR(I133="Hypothesis",I133="Observed association",I133="Contradictory or unresolved"),"Review required","Ready for qualified review"))))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75" t="str">
        <x:f>IF(A134="","",IF(OR(B134="",C134="",D134="",E134="",F134="",G134="",H134="",I134="",J134=""),"Incomplete",IF(E134="Evidence required","Evidence required",IF(OR(I134="Hypothesis",I134="Observed association",I134="Contradictory or unresolved"),"Review required","Ready for qualified review"))))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75" t="str">
        <x:f>IF(A135="","",IF(OR(B135="",C135="",D135="",E135="",F135="",G135="",H135="",I135="",J135=""),"Incomplete",IF(E135="Evidence required","Evidence required",IF(OR(I135="Hypothesis",I135="Observed association",I135="Contradictory or unresolved"),"Review required","Ready for qualified review"))))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75" t="str">
        <x:f>IF(A136="","",IF(OR(B136="",C136="",D136="",E136="",F136="",G136="",H136="",I136="",J136=""),"Incomplete",IF(E136="Evidence required","Evidence required",IF(OR(I136="Hypothesis",I136="Observed association",I136="Contradictory or unresolved"),"Review required","Ready for qualified review"))))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75" t="str">
        <x:f>IF(A137="","",IF(OR(B137="",C137="",D137="",E137="",F137="",G137="",H137="",I137="",J137=""),"Incomplete",IF(E137="Evidence required","Evidence required",IF(OR(I137="Hypothesis",I137="Observed association",I137="Contradictory or unresolved"),"Review required","Ready for qualified review"))))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75" t="str">
        <x:f>IF(A138="","",IF(OR(B138="",C138="",D138="",E138="",F138="",G138="",H138="",I138="",J138=""),"Incomplete",IF(E138="Evidence required","Evidence required",IF(OR(I138="Hypothesis",I138="Observed association",I138="Contradictory or unresolved"),"Review required","Ready for qualified review"))))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75" t="str">
        <x:f>IF(A139="","",IF(OR(B139="",C139="",D139="",E139="",F139="",G139="",H139="",I139="",J139=""),"Incomplete",IF(E139="Evidence required","Evidence required",IF(OR(I139="Hypothesis",I139="Observed association",I139="Contradictory or unresolved"),"Review required","Ready for qualified review"))))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75" t="str">
        <x:f>IF(A140="","",IF(OR(B140="",C140="",D140="",E140="",F140="",G140="",H140="",I140="",J140=""),"Incomplete",IF(E140="Evidence required","Evidence required",IF(OR(I140="Hypothesis",I140="Observed association",I140="Contradictory or unresolved"),"Review required","Ready for qualified review"))))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75" t="str">
        <x:f>IF(A141="","",IF(OR(B141="",C141="",D141="",E141="",F141="",G141="",H141="",I141="",J141=""),"Incomplete",IF(E141="Evidence required","Evidence required",IF(OR(I141="Hypothesis",I141="Observed association",I141="Contradictory or unresolved"),"Review required","Ready for qualified review"))))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75" t="str">
        <x:f>IF(A142="","",IF(OR(B142="",C142="",D142="",E142="",F142="",G142="",H142="",I142="",J142=""),"Incomplete",IF(E142="Evidence required","Evidence required",IF(OR(I142="Hypothesis",I142="Observed association",I142="Contradictory or unresolved"),"Review required","Ready for qualified review"))))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75" t="str">
        <x:f>IF(A143="","",IF(OR(B143="",C143="",D143="",E143="",F143="",G143="",H143="",I143="",J143=""),"Incomplete",IF(E143="Evidence required","Evidence required",IF(OR(I143="Hypothesis",I143="Observed association",I143="Contradictory or unresolved"),"Review required","Ready for qualified review"))))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75" t="str">
        <x:f>IF(A144="","",IF(OR(B144="",C144="",D144="",E144="",F144="",G144="",H144="",I144="",J144=""),"Incomplete",IF(E144="Evidence required","Evidence required",IF(OR(I144="Hypothesis",I144="Observed association",I144="Contradictory or unresolved"),"Review required","Ready for qualified review"))))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75" t="str">
        <x:f>IF(A145="","",IF(OR(B145="",C145="",D145="",E145="",F145="",G145="",H145="",I145="",J145=""),"Incomplete",IF(E145="Evidence required","Evidence required",IF(OR(I145="Hypothesis",I145="Observed association",I145="Contradictory or unresolved"),"Review required","Ready for qualified review"))))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75" t="str">
        <x:f>IF(A146="","",IF(OR(B146="",C146="",D146="",E146="",F146="",G146="",H146="",I146="",J146=""),"Incomplete",IF(E146="Evidence required","Evidence required",IF(OR(I146="Hypothesis",I146="Observed association",I146="Contradictory or unresolved"),"Review required","Ready for qualified review"))))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75" t="str">
        <x:f>IF(A147="","",IF(OR(B147="",C147="",D147="",E147="",F147="",G147="",H147="",I147="",J147=""),"Incomplete",IF(E147="Evidence required","Evidence required",IF(OR(I147="Hypothesis",I147="Observed association",I147="Contradictory or unresolved"),"Review required","Ready for qualified review"))))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75" t="str">
        <x:f>IF(A148="","",IF(OR(B148="",C148="",D148="",E148="",F148="",G148="",H148="",I148="",J148=""),"Incomplete",IF(E148="Evidence required","Evidence required",IF(OR(I148="Hypothesis",I148="Observed association",I148="Contradictory or unresolved"),"Review required","Ready for qualified review"))))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75" t="str">
        <x:f>IF(A149="","",IF(OR(B149="",C149="",D149="",E149="",F149="",G149="",H149="",I149="",J149=""),"Incomplete",IF(E149="Evidence required","Evidence required",IF(OR(I149="Hypothesis",I149="Observed association",I149="Contradictory or unresolved"),"Review required","Ready for qualified review"))))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75" t="str">
        <x:f>IF(A150="","",IF(OR(B150="",C150="",D150="",E150="",F150="",G150="",H150="",I150="",J150=""),"Incomplete",IF(E150="Evidence required","Evidence required",IF(OR(I150="Hypothesis",I150="Observed association",I150="Contradictory or unresolved"),"Review required","Ready for qualified review"))))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75" t="str">
        <x:f>IF(A151="","",IF(OR(B151="",C151="",D151="",E151="",F151="",G151="",H151="",I151="",J151=""),"Incomplete",IF(E151="Evidence required","Evidence required",IF(OR(I151="Hypothesis",I151="Observed association",I151="Contradictory or unresolved"),"Review required","Ready for qualified review"))))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75" t="str">
        <x:f>IF(A152="","",IF(OR(B152="",C152="",D152="",E152="",F152="",G152="",H152="",I152="",J152=""),"Incomplete",IF(E152="Evidence required","Evidence required",IF(OR(I152="Hypothesis",I152="Observed association",I152="Contradictory or unresolved"),"Review required","Ready for qualified review"))))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75" t="str">
        <x:f>IF(A153="","",IF(OR(B153="",C153="",D153="",E153="",F153="",G153="",H153="",I153="",J153=""),"Incomplete",IF(E153="Evidence required","Evidence required",IF(OR(I153="Hypothesis",I153="Observed association",I153="Contradictory or unresolved"),"Review required","Ready for qualified review"))))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75" t="str">
        <x:f>IF(A154="","",IF(OR(B154="",C154="",D154="",E154="",F154="",G154="",H154="",I154="",J154=""),"Incomplete",IF(E154="Evidence required","Evidence required",IF(OR(I154="Hypothesis",I154="Observed association",I154="Contradictory or unresolved"),"Review required","Ready for qualified review"))))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75" t="str">
        <x:f>IF(A155="","",IF(OR(B155="",C155="",D155="",E155="",F155="",G155="",H155="",I155="",J155=""),"Incomplete",IF(E155="Evidence required","Evidence required",IF(OR(I155="Hypothesis",I155="Observed association",I155="Contradictory or unresolved"),"Review required","Ready for qualified review"))))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75" t="str">
        <x:f>IF(A156="","",IF(OR(B156="",C156="",D156="",E156="",F156="",G156="",H156="",I156="",J156=""),"Incomplete",IF(E156="Evidence required","Evidence required",IF(OR(I156="Hypothesis",I156="Observed association",I156="Contradictory or unresolved"),"Review required","Ready for qualified review"))))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75" t="str">
        <x:f>IF(A157="","",IF(OR(B157="",C157="",D157="",E157="",F157="",G157="",H157="",I157="",J157=""),"Incomplete",IF(E157="Evidence required","Evidence required",IF(OR(I157="Hypothesis",I157="Observed association",I157="Contradictory or unresolved"),"Review required","Ready for qualified review"))))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75" t="str">
        <x:f>IF(A158="","",IF(OR(B158="",C158="",D158="",E158="",F158="",G158="",H158="",I158="",J158=""),"Incomplete",IF(E158="Evidence required","Evidence required",IF(OR(I158="Hypothesis",I158="Observed association",I158="Contradictory or unresolved"),"Review required","Ready for qualified review"))))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75" t="str">
        <x:f>IF(A159="","",IF(OR(B159="",C159="",D159="",E159="",F159="",G159="",H159="",I159="",J159=""),"Incomplete",IF(E159="Evidence required","Evidence required",IF(OR(I159="Hypothesis",I159="Observed association",I159="Contradictory or unresolved"),"Review required","Ready for qualified review"))))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75" t="str">
        <x:f>IF(A160="","",IF(OR(B160="",C160="",D160="",E160="",F160="",G160="",H160="",I160="",J160=""),"Incomplete",IF(E160="Evidence required","Evidence required",IF(OR(I160="Hypothesis",I160="Observed association",I160="Contradictory or unresolved"),"Review required","Ready for qualified review"))))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75" t="str">
        <x:f>IF(A161="","",IF(OR(B161="",C161="",D161="",E161="",F161="",G161="",H161="",I161="",J161=""),"Incomplete",IF(E161="Evidence required","Evidence required",IF(OR(I161="Hypothesis",I161="Observed association",I161="Contradictory or unresolved"),"Review required","Ready for qualified review"))))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75" t="str">
        <x:f>IF(A162="","",IF(OR(B162="",C162="",D162="",E162="",F162="",G162="",H162="",I162="",J162=""),"Incomplete",IF(E162="Evidence required","Evidence required",IF(OR(I162="Hypothesis",I162="Observed association",I162="Contradictory or unresolved"),"Review required","Ready for qualified review"))))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75" t="str">
        <x:f>IF(A163="","",IF(OR(B163="",C163="",D163="",E163="",F163="",G163="",H163="",I163="",J163=""),"Incomplete",IF(E163="Evidence required","Evidence required",IF(OR(I163="Hypothesis",I163="Observed association",I163="Contradictory or unresolved"),"Review required","Ready for qualified review"))))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75" t="str">
        <x:f>IF(A164="","",IF(OR(B164="",C164="",D164="",E164="",F164="",G164="",H164="",I164="",J164=""),"Incomplete",IF(E164="Evidence required","Evidence required",IF(OR(I164="Hypothesis",I164="Observed association",I164="Contradictory or unresolved"),"Review required","Ready for qualified review"))))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75" t="str">
        <x:f>IF(A165="","",IF(OR(B165="",C165="",D165="",E165="",F165="",G165="",H165="",I165="",J165=""),"Incomplete",IF(E165="Evidence required","Evidence required",IF(OR(I165="Hypothesis",I165="Observed association",I165="Contradictory or unresolved"),"Review required","Ready for qualified review"))))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75" t="str">
        <x:f>IF(A166="","",IF(OR(B166="",C166="",D166="",E166="",F166="",G166="",H166="",I166="",J166=""),"Incomplete",IF(E166="Evidence required","Evidence required",IF(OR(I166="Hypothesis",I166="Observed association",I166="Contradictory or unresolved"),"Review required","Ready for qualified review"))))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75" t="str">
        <x:f>IF(A167="","",IF(OR(B167="",C167="",D167="",E167="",F167="",G167="",H167="",I167="",J167=""),"Incomplete",IF(E167="Evidence required","Evidence required",IF(OR(I167="Hypothesis",I167="Observed association",I167="Contradictory or unresolved"),"Review required","Ready for qualified review"))))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75" t="str">
        <x:f>IF(A168="","",IF(OR(B168="",C168="",D168="",E168="",F168="",G168="",H168="",I168="",J168=""),"Incomplete",IF(E168="Evidence required","Evidence required",IF(OR(I168="Hypothesis",I168="Observed association",I168="Contradictory or unresolved"),"Review required","Ready for qualified review"))))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75" t="str">
        <x:f>IF(A169="","",IF(OR(B169="",C169="",D169="",E169="",F169="",G169="",H169="",I169="",J169=""),"Incomplete",IF(E169="Evidence required","Evidence required",IF(OR(I169="Hypothesis",I169="Observed association",I169="Contradictory or unresolved"),"Review required","Ready for qualified review"))))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75" t="str">
        <x:f>IF(A170="","",IF(OR(B170="",C170="",D170="",E170="",F170="",G170="",H170="",I170="",J170=""),"Incomplete",IF(E170="Evidence required","Evidence required",IF(OR(I170="Hypothesis",I170="Observed association",I170="Contradictory or unresolved"),"Review required","Ready for qualified review"))))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75" t="str">
        <x:f>IF(A171="","",IF(OR(B171="",C171="",D171="",E171="",F171="",G171="",H171="",I171="",J171=""),"Incomplete",IF(E171="Evidence required","Evidence required",IF(OR(I171="Hypothesis",I171="Observed association",I171="Contradictory or unresolved"),"Review required","Ready for qualified review"))))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75" t="str">
        <x:f>IF(A172="","",IF(OR(B172="",C172="",D172="",E172="",F172="",G172="",H172="",I172="",J172=""),"Incomplete",IF(E172="Evidence required","Evidence required",IF(OR(I172="Hypothesis",I172="Observed association",I172="Contradictory or unresolved"),"Review required","Ready for qualified review"))))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75" t="str">
        <x:f>IF(A173="","",IF(OR(B173="",C173="",D173="",E173="",F173="",G173="",H173="",I173="",J173=""),"Incomplete",IF(E173="Evidence required","Evidence required",IF(OR(I173="Hypothesis",I173="Observed association",I173="Contradictory or unresolved"),"Review required","Ready for qualified review"))))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75" t="str">
        <x:f>IF(A174="","",IF(OR(B174="",C174="",D174="",E174="",F174="",G174="",H174="",I174="",J174=""),"Incomplete",IF(E174="Evidence required","Evidence required",IF(OR(I174="Hypothesis",I174="Observed association",I174="Contradictory or unresolved"),"Review required","Ready for qualified review"))))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75" t="str">
        <x:f>IF(A175="","",IF(OR(B175="",C175="",D175="",E175="",F175="",G175="",H175="",I175="",J175=""),"Incomplete",IF(E175="Evidence required","Evidence required",IF(OR(I175="Hypothesis",I175="Observed association",I175="Contradictory or unresolved"),"Review required","Ready for qualified review"))))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75" t="str">
        <x:f>IF(A176="","",IF(OR(B176="",C176="",D176="",E176="",F176="",G176="",H176="",I176="",J176=""),"Incomplete",IF(E176="Evidence required","Evidence required",IF(OR(I176="Hypothesis",I176="Observed association",I176="Contradictory or unresolved"),"Review required","Ready for qualified review"))))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75" t="str">
        <x:f>IF(A177="","",IF(OR(B177="",C177="",D177="",E177="",F177="",G177="",H177="",I177="",J177=""),"Incomplete",IF(E177="Evidence required","Evidence required",IF(OR(I177="Hypothesis",I177="Observed association",I177="Contradictory or unresolved"),"Review required","Ready for qualified review"))))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75" t="str">
        <x:f>IF(A178="","",IF(OR(B178="",C178="",D178="",E178="",F178="",G178="",H178="",I178="",J178=""),"Incomplete",IF(E178="Evidence required","Evidence required",IF(OR(I178="Hypothesis",I178="Observed association",I178="Contradictory or unresolved"),"Review required","Ready for qualified review"))))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75" t="str">
        <x:f>IF(A179="","",IF(OR(B179="",C179="",D179="",E179="",F179="",G179="",H179="",I179="",J179=""),"Incomplete",IF(E179="Evidence required","Evidence required",IF(OR(I179="Hypothesis",I179="Observed association",I179="Contradictory or unresolved"),"Review required","Ready for qualified review"))))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75" t="str">
        <x:f>IF(A180="","",IF(OR(B180="",C180="",D180="",E180="",F180="",G180="",H180="",I180="",J180=""),"Incomplete",IF(E180="Evidence required","Evidence required",IF(OR(I180="Hypothesis",I180="Observed association",I180="Contradictory or unresolved"),"Review required","Ready for qualified review"))))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75" t="str">
        <x:f>IF(A181="","",IF(OR(B181="",C181="",D181="",E181="",F181="",G181="",H181="",I181="",J181=""),"Incomplete",IF(E181="Evidence required","Evidence required",IF(OR(I181="Hypothesis",I181="Observed association",I181="Contradictory or unresolved"),"Review required","Ready for qualified review"))))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75" t="str">
        <x:f>IF(A182="","",IF(OR(B182="",C182="",D182="",E182="",F182="",G182="",H182="",I182="",J182=""),"Incomplete",IF(E182="Evidence required","Evidence required",IF(OR(I182="Hypothesis",I182="Observed association",I182="Contradictory or unresolved"),"Review required","Ready for qualified review"))))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75" t="str">
        <x:f>IF(A183="","",IF(OR(B183="",C183="",D183="",E183="",F183="",G183="",H183="",I183="",J183=""),"Incomplete",IF(E183="Evidence required","Evidence required",IF(OR(I183="Hypothesis",I183="Observed association",I183="Contradictory or unresolved"),"Review required","Ready for qualified review"))))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75" t="str">
        <x:f>IF(A184="","",IF(OR(B184="",C184="",D184="",E184="",F184="",G184="",H184="",I184="",J184=""),"Incomplete",IF(E184="Evidence required","Evidence required",IF(OR(I184="Hypothesis",I184="Observed association",I184="Contradictory or unresolved"),"Review required","Ready for qualified review"))))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75" t="str">
        <x:f>IF(A185="","",IF(OR(B185="",C185="",D185="",E185="",F185="",G185="",H185="",I185="",J185=""),"Incomplete",IF(E185="Evidence required","Evidence required",IF(OR(I185="Hypothesis",I185="Observed association",I185="Contradictory or unresolved"),"Review required","Ready for qualified review"))))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75" t="str">
        <x:f>IF(A186="","",IF(OR(B186="",C186="",D186="",E186="",F186="",G186="",H186="",I186="",J186=""),"Incomplete",IF(E186="Evidence required","Evidence required",IF(OR(I186="Hypothesis",I186="Observed association",I186="Contradictory or unresolved"),"Review required","Ready for qualified review"))))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75" t="str">
        <x:f>IF(A187="","",IF(OR(B187="",C187="",D187="",E187="",F187="",G187="",H187="",I187="",J187=""),"Incomplete",IF(E187="Evidence required","Evidence required",IF(OR(I187="Hypothesis",I187="Observed association",I187="Contradictory or unresolved"),"Review required","Ready for qualified review"))))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75" t="str">
        <x:f>IF(A188="","",IF(OR(B188="",C188="",D188="",E188="",F188="",G188="",H188="",I188="",J188=""),"Incomplete",IF(E188="Evidence required","Evidence required",IF(OR(I188="Hypothesis",I188="Observed association",I188="Contradictory or unresolved"),"Review required","Ready for qualified review"))))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75" t="str">
        <x:f>IF(A189="","",IF(OR(B189="",C189="",D189="",E189="",F189="",G189="",H189="",I189="",J189=""),"Incomplete",IF(E189="Evidence required","Evidence required",IF(OR(I189="Hypothesis",I189="Observed association",I189="Contradictory or unresolved"),"Review required","Ready for qualified review"))))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75" t="str">
        <x:f>IF(A190="","",IF(OR(B190="",C190="",D190="",E190="",F190="",G190="",H190="",I190="",J190=""),"Incomplete",IF(E190="Evidence required","Evidence required",IF(OR(I190="Hypothesis",I190="Observed association",I190="Contradictory or unresolved"),"Review required","Ready for qualified review"))))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75" t="str">
        <x:f>IF(A191="","",IF(OR(B191="",C191="",D191="",E191="",F191="",G191="",H191="",I191="",J191=""),"Incomplete",IF(E191="Evidence required","Evidence required",IF(OR(I191="Hypothesis",I191="Observed association",I191="Contradictory or unresolved"),"Review required","Ready for qualified review"))))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75" t="str">
        <x:f>IF(A192="","",IF(OR(B192="",C192="",D192="",E192="",F192="",G192="",H192="",I192="",J192=""),"Incomplete",IF(E192="Evidence required","Evidence required",IF(OR(I192="Hypothesis",I192="Observed association",I192="Contradictory or unresolved"),"Review required","Ready for qualified review"))))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75" t="str">
        <x:f>IF(A193="","",IF(OR(B193="",C193="",D193="",E193="",F193="",G193="",H193="",I193="",J193=""),"Incomplete",IF(E193="Evidence required","Evidence required",IF(OR(I193="Hypothesis",I193="Observed association",I193="Contradictory or unresolved"),"Review required","Ready for qualified review"))))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75" t="str">
        <x:f>IF(A194="","",IF(OR(B194="",C194="",D194="",E194="",F194="",G194="",H194="",I194="",J194=""),"Incomplete",IF(E194="Evidence required","Evidence required",IF(OR(I194="Hypothesis",I194="Observed association",I194="Contradictory or unresolved"),"Review required","Ready for qualified review"))))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75" t="str">
        <x:f>IF(A195="","",IF(OR(B195="",C195="",D195="",E195="",F195="",G195="",H195="",I195="",J195=""),"Incomplete",IF(E195="Evidence required","Evidence required",IF(OR(I195="Hypothesis",I195="Observed association",I195="Contradictory or unresolved"),"Review required","Ready for qualified review"))))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75" t="str">
        <x:f>IF(A196="","",IF(OR(B196="",C196="",D196="",E196="",F196="",G196="",H196="",I196="",J196=""),"Incomplete",IF(E196="Evidence required","Evidence required",IF(OR(I196="Hypothesis",I196="Observed association",I196="Contradictory or unresolved"),"Review required","Ready for qualified review"))))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75" t="str">
        <x:f>IF(A197="","",IF(OR(B197="",C197="",D197="",E197="",F197="",G197="",H197="",I197="",J197=""),"Incomplete",IF(E197="Evidence required","Evidence required",IF(OR(I197="Hypothesis",I197="Observed association",I197="Contradictory or unresolved"),"Review required","Ready for qualified review"))))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75" t="str">
        <x:f>IF(A198="","",IF(OR(B198="",C198="",D198="",E198="",F198="",G198="",H198="",I198="",J198=""),"Incomplete",IF(E198="Evidence required","Evidence required",IF(OR(I198="Hypothesis",I198="Observed association",I198="Contradictory or unresolved"),"Review required","Ready for qualified review"))))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75" t="str">
        <x:f>IF(A199="","",IF(OR(B199="",C199="",D199="",E199="",F199="",G199="",H199="",I199="",J199=""),"Incomplete",IF(E199="Evidence required","Evidence required",IF(OR(I199="Hypothesis",I199="Observed association",I199="Contradictory or unresolved"),"Review required","Ready for qualified review"))))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75" t="str">
        <x:f>IF(A200="","",IF(OR(B200="",C200="",D200="",E200="",F200="",G200="",H200="",I200="",J200=""),"Incomplete",IF(E200="Evidence required","Evidence required",IF(OR(I200="Hypothesis",I200="Observed association",I200="Contradictory or unresolved"),"Review required","Ready for qualified review"))))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75" t="str">
        <x:f>IF(A201="","",IF(OR(B201="",C201="",D201="",E201="",F201="",G201="",H201="",I201="",J201=""),"Incomplete",IF(E201="Evidence required","Evidence required",IF(OR(I201="Hypothesis",I201="Observed association",I201="Contradictory or unresolved"),"Review required","Ready for qualified review"))))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75" t="str">
        <x:f>IF(A202="","",IF(OR(B202="",C202="",D202="",E202="",F202="",G202="",H202="",I202="",J202=""),"Incomplete",IF(E202="Evidence required","Evidence required",IF(OR(I202="Hypothesis",I202="Observed association",I202="Contradictory or unresolved"),"Review required","Ready for qualified review"))))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75" t="str">
        <x:f>IF(A203="","",IF(OR(B203="",C203="",D203="",E203="",F203="",G203="",H203="",I203="",J203=""),"Incomplete",IF(E203="Evidence required","Evidence required",IF(OR(I203="Hypothesis",I203="Observed association",I203="Contradictory or unresolved"),"Review required","Ready for qualified review"))))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75" t="str">
        <x:f>IF(A204="","",IF(OR(B204="",C204="",D204="",E204="",F204="",G204="",H204="",I204="",J204=""),"Incomplete",IF(E204="Evidence required","Evidence required",IF(OR(I204="Hypothesis",I204="Observed association",I204="Contradictory or unresolved"),"Review required","Ready for qualified review"))))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6" t="str">
        <x:f>IF(A205="","",IF(OR(B205="",C205="",D205="",E205="",F205="",G205="",H205="",I205="",J205=""),"Incomplete",IF(E205="Evidence required","Evidence required",IF(OR(I205="Hypothesis",I205="Observed association",I205="Contradictory or unresolved"),"Review required","Ready for qualified review"))))</x:f>
      </x:c>
    </x:row>
  </x:sheetData>
  <x:mergeCells>
    <x:mergeCell ref="A1:K1"/>
    <x:mergeCell ref="A2:K2"/>
  </x:mergeCells>
  <x:conditionalFormatting sqref="K6:K2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2">
    <x:dataValidation type="list" sqref="B6:B205">
      <x:formula1>"Official guidance,Controlled study,Manufacturing data,Analytical study,Viral-clearance study,Material / supplier evidence,Deviation / change record,Platform knowledge,Other"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46" hidden="0" customWidth="1"/>
    <x:col min="4" max="4" width="20" hidden="0" customWidth="1"/>
    <x:col min="5" max="5" width="14" hidden="0" customWidth="1"/>
    <x:col min="6" max="6" width="28" hidden="0" customWidth="1"/>
    <x:col min="7" max="7" width="14" hidden="0" customWidth="1"/>
    <x:col min="8" max="8" width="16" hidden="0" customWidth="1"/>
    <x:col min="9" max="9" width="38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Convert gaps and contradictions into owned evidence requests, studies, reviews, decisions, and lifecycle commitments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55" t="str">
        <x:v>Action ID</x:v>
      </x:c>
      <x:c r="B5" s="56" t="str">
        <x:v>Linked record IDs</x:v>
      </x:c>
      <x:c r="C5" s="56" t="str">
        <x:v>Action / decision</x:v>
      </x:c>
      <x:c r="D5" s="56" t="str">
        <x:v>Type</x:v>
      </x:c>
      <x:c r="E5" s="56" t="str">
        <x:v>Priority</x:v>
      </x:c>
      <x:c r="F5" s="56" t="str">
        <x:v>Owner role</x:v>
      </x:c>
      <x:c r="G5" s="56" t="str">
        <x:v>Due date</x:v>
      </x:c>
      <x:c r="H5" s="56" t="str">
        <x:v>Status</x:v>
      </x:c>
      <x:c r="I5" s="56" t="str">
        <x:v>Closure evidence / decision</x:v>
      </x:c>
      <x:c r="J5" s="57" t="str">
        <x:v>Attention</x:v>
      </x:c>
    </x:row>
    <x:row r="6">
      <x:c r="A6" s="68" t="str">
        <x:v>ACT-001</x:v>
      </x:c>
      <x:c r="B6" s="68" t="str">
        <x:v>TGT-003; STEP-001; CLM-001; EVD-007</x:v>
      </x:c>
      <x:c r="C6" s="68" t="str">
        <x:v>Confirm the higher incoming HCP load, method comparability and coverage, cause, representative range, and downstream capacity impact.</x:v>
      </x:c>
      <x:c r="D6" s="68" t="str">
        <x:v>Evidence request</x:v>
      </x:c>
      <x:c r="E6" s="68" t="str">
        <x:v>Critical</x:v>
      </x:c>
      <x:c r="F6" s="68" t="str">
        <x:v>Analytical development / Upstream and downstream MSAT</x:v>
      </x:c>
      <x:c r="G6" s="77" t="n">
        <x:v>46258</x:v>
      </x:c>
      <x:c r="H6" s="68" t="str">
        <x:v>In progress</x:v>
      </x:c>
      <x:c r="I6" s="68" t="str"/>
      <x:c r="J6" s="74" t="str">
        <x:f>IF(A6="","",IF(OR(B6="",C6="",D6="",E6="",F6="",G6="",H6=""),"Incomplete",IF(AND(H6&lt;&gt;"Closed",G6&lt;TODAY()),"Overdue",IF(H6="Closed",IF(I6="","Review required","Closed"),"Open"))))</x:f>
        <x:v>Open</x:v>
      </x:c>
    </x:row>
    <x:row r="7">
      <x:c r="A7" s="69" t="str">
        <x:v>ACT-002</x:v>
      </x:c>
      <x:c r="B7" s="69" t="str">
        <x:v>STEP-002; CLM-003; EVD-008</x:v>
      </x:c>
      <x:c r="C7" s="69" t="str">
        <x:v>Complete proposed-resin equivalence, cleaning, storage, leachable, performance, and end-of-use evidence review.</x:v>
      </x:c>
      <x:c r="D7" s="69" t="str">
        <x:v>Study</x:v>
      </x:c>
      <x:c r="E7" s="69" t="str">
        <x:v>Critical</x:v>
      </x:c>
      <x:c r="F7" s="69" t="str">
        <x:v>Downstream process development / Quality</x:v>
      </x:c>
      <x:c r="G7" s="78" t="n">
        <x:v>46267</x:v>
      </x:c>
      <x:c r="H7" s="69" t="str">
        <x:v>Not started</x:v>
      </x:c>
      <x:c r="I7" s="69" t="str"/>
      <x:c r="J7" s="75" t="str">
        <x:f>IF(A7="","",IF(OR(B7="",C7="",D7="",E7="",F7="",G7="",H7=""),"Incomplete",IF(AND(H7&lt;&gt;"Closed",G7&lt;TODAY()),"Overdue",IF(H7="Closed",IF(I7="","Review required","Closed"),"Open"))))</x:f>
        <x:v>Open</x:v>
      </x:c>
    </x:row>
    <x:row r="8">
      <x:c r="A8" s="69" t="str">
        <x:v>ACT-003</x:v>
      </x:c>
      <x:c r="B8" s="69" t="str">
        <x:v>CLM-004; EVD-004; EVD-006; EVD-008</x:v>
      </x:c>
      <x:c r="C8" s="69" t="str">
        <x:v>Approve a representative product-quality and recovery evidence plan across the proposed resin lifecycle.</x:v>
      </x:c>
      <x:c r="D8" s="69" t="str">
        <x:v>Review</x:v>
      </x:c>
      <x:c r="E8" s="69" t="str">
        <x:v>High</x:v>
      </x:c>
      <x:c r="F8" s="69" t="str">
        <x:v>Product quality / Analytical development</x:v>
      </x:c>
      <x:c r="G8" s="78" t="n">
        <x:v>46272</x:v>
      </x:c>
      <x:c r="H8" s="69" t="str">
        <x:v>Not started</x:v>
      </x:c>
      <x:c r="I8" s="69" t="str"/>
      <x:c r="J8" s="75" t="str">
        <x:f>IF(A8="","",IF(OR(B8="",C8="",D8="",E8="",F8="",G8="",H8=""),"Incomplete",IF(AND(H8&lt;&gt;"Closed",G8&lt;TODAY()),"Overdue",IF(H8="Closed",IF(I8="","Review required","Closed"),"Open"))))</x:f>
        <x:v>Open</x:v>
      </x:c>
    </x:row>
    <x:row r="9">
      <x:c r="A9" s="69" t="str">
        <x:v>ACT-004</x:v>
      </x:c>
      <x:c r="B9" s="69" t="str">
        <x:v>CLM-005; CLM-006; EVD-003; EVD-009</x:v>
      </x:c>
      <x:c r="C9" s="69" t="str">
        <x:v>Record the qualified direct and indirect viral-safety impact assessment and any bridging or new study requirement.</x:v>
      </x:c>
      <x:c r="D9" s="69" t="str">
        <x:v>Validation</x:v>
      </x:c>
      <x:c r="E9" s="69" t="str">
        <x:v>Critical</x:v>
      </x:c>
      <x:c r="F9" s="69" t="str">
        <x:v>Viral safety / Regulatory CMC</x:v>
      </x:c>
      <x:c r="G9" s="78" t="n">
        <x:v>46277</x:v>
      </x:c>
      <x:c r="H9" s="69" t="str">
        <x:v>Blocked</x:v>
      </x:c>
      <x:c r="I9" s="69" t="str"/>
      <x:c r="J9" s="75" t="str">
        <x:f>IF(A9="","",IF(OR(B9="",C9="",D9="",E9="",F9="",G9="",H9=""),"Incomplete",IF(AND(H9&lt;&gt;"Closed",G9&lt;TODAY()),"Overdue",IF(H9="Closed",IF(I9="","Review required","Closed"),"Open"))))</x:f>
        <x:v>Open</x:v>
      </x:c>
    </x:row>
    <x:row r="10">
      <x:c r="A10" s="69" t="str">
        <x:v>ACT-005</x:v>
      </x:c>
      <x:c r="B10" s="69" t="str">
        <x:v>ACT-001; ACT-002; ACT-003; ACT-004</x:v>
      </x:c>
      <x:c r="C10" s="69" t="str">
        <x:v>Record the authorized comparability, validation, quality, and regulatory decision before implementation.</x:v>
      </x:c>
      <x:c r="D10" s="69" t="str">
        <x:v>Decision</x:v>
      </x:c>
      <x:c r="E10" s="69" t="str">
        <x:v>Critical</x:v>
      </x:c>
      <x:c r="F10" s="69" t="str">
        <x:v>Change owner / Quality unit / Regulatory CMC</x:v>
      </x:c>
      <x:c r="G10" s="78" t="n">
        <x:v>46283</x:v>
      </x:c>
      <x:c r="H10" s="69" t="str">
        <x:v>Blocked</x:v>
      </x:c>
      <x:c r="I10" s="69" t="str"/>
      <x:c r="J10" s="75" t="str">
        <x:f>IF(A10="","",IF(OR(B10="",C10="",D10="",E10="",F10="",G10="",H10=""),"Incomplete",IF(AND(H10&lt;&gt;"Closed",G10&lt;TODAY()),"Overdue",IF(H10="Closed",IF(I10="","Review required","Closed"),"Open"))))</x:f>
        <x:v>Open</x:v>
      </x:c>
    </x:row>
    <x:row r="11">
      <x:c r="A11" s="69"/>
      <x:c r="B11" s="69"/>
      <x:c r="C11" s="69"/>
      <x:c r="D11" s="69"/>
      <x:c r="E11" s="69"/>
      <x:c r="F11" s="69"/>
      <x:c r="G11" s="78"/>
      <x:c r="H11" s="69"/>
      <x:c r="I11" s="69"/>
      <x:c r="J11" s="75" t="str">
        <x:f>IF(A11="","",IF(OR(B11="",C11="",D11="",E11="",F11="",G11="",H11=""),"Incomplete",IF(AND(H11&lt;&gt;"Closed",G11&lt;TODAY()),"Overdue",IF(H11="Closed",IF(I11="","Review required","Closed"),"Open"))))</x:f>
      </x:c>
    </x:row>
    <x:row r="12">
      <x:c r="A12" s="69"/>
      <x:c r="B12" s="69"/>
      <x:c r="C12" s="69"/>
      <x:c r="D12" s="69"/>
      <x:c r="E12" s="69"/>
      <x:c r="F12" s="69"/>
      <x:c r="G12" s="78"/>
      <x:c r="H12" s="69"/>
      <x:c r="I12" s="69"/>
      <x:c r="J12" s="75" t="str">
        <x:f>IF(A12="","",IF(OR(B12="",C12="",D12="",E12="",F12="",G12="",H12=""),"Incomplete",IF(AND(H12&lt;&gt;"Closed",G12&lt;TODAY()),"Overdue",IF(H12="Closed",IF(I12="","Review required","Closed"),"Open"))))</x:f>
      </x:c>
    </x:row>
    <x:row r="13">
      <x:c r="A13" s="69"/>
      <x:c r="B13" s="69"/>
      <x:c r="C13" s="69"/>
      <x:c r="D13" s="69"/>
      <x:c r="E13" s="69"/>
      <x:c r="F13" s="69"/>
      <x:c r="G13" s="78"/>
      <x:c r="H13" s="69"/>
      <x:c r="I13" s="69"/>
      <x:c r="J13" s="75" t="str">
        <x:f>IF(A13="","",IF(OR(B13="",C13="",D13="",E13="",F13="",G13="",H13=""),"Incomplete",IF(AND(H13&lt;&gt;"Closed",G13&lt;TODAY()),"Overdue",IF(H13="Closed",IF(I13="","Review required","Closed"),"Open"))))</x:f>
      </x:c>
    </x:row>
    <x:row r="14">
      <x:c r="A14" s="69"/>
      <x:c r="B14" s="69"/>
      <x:c r="C14" s="69"/>
      <x:c r="D14" s="69"/>
      <x:c r="E14" s="69"/>
      <x:c r="F14" s="69"/>
      <x:c r="G14" s="78"/>
      <x:c r="H14" s="69"/>
      <x:c r="I14" s="69"/>
      <x:c r="J14" s="75" t="str">
        <x:f>IF(A14="","",IF(OR(B14="",C14="",D14="",E14="",F14="",G14="",H14=""),"Incomplete",IF(AND(H14&lt;&gt;"Closed",G14&lt;TODAY()),"Overdue",IF(H14="Closed",IF(I14="","Review required","Closed"),"Open"))))</x:f>
      </x:c>
    </x:row>
    <x:row r="15">
      <x:c r="A15" s="69"/>
      <x:c r="B15" s="69"/>
      <x:c r="C15" s="69"/>
      <x:c r="D15" s="69"/>
      <x:c r="E15" s="69"/>
      <x:c r="F15" s="69"/>
      <x:c r="G15" s="78"/>
      <x:c r="H15" s="69"/>
      <x:c r="I15" s="69"/>
      <x:c r="J15" s="75" t="str">
        <x:f>IF(A15="","",IF(OR(B15="",C15="",D15="",E15="",F15="",G15="",H15=""),"Incomplete",IF(AND(H15&lt;&gt;"Closed",G15&lt;TODAY()),"Overdue",IF(H15="Closed",IF(I15="","Review required","Closed"),"Open"))))</x:f>
      </x:c>
    </x:row>
    <x:row r="16">
      <x:c r="A16" s="69"/>
      <x:c r="B16" s="69"/>
      <x:c r="C16" s="69"/>
      <x:c r="D16" s="69"/>
      <x:c r="E16" s="69"/>
      <x:c r="F16" s="69"/>
      <x:c r="G16" s="78"/>
      <x:c r="H16" s="69"/>
      <x:c r="I16" s="69"/>
      <x:c r="J16" s="75" t="str">
        <x:f>IF(A16="","",IF(OR(B16="",C16="",D16="",E16="",F16="",G16="",H16=""),"Incomplete",IF(AND(H16&lt;&gt;"Closed",G16&lt;TODAY()),"Overdue",IF(H16="Closed",IF(I16="","Review required","Closed"),"Open"))))</x:f>
      </x:c>
    </x:row>
    <x:row r="17">
      <x:c r="A17" s="69"/>
      <x:c r="B17" s="69"/>
      <x:c r="C17" s="69"/>
      <x:c r="D17" s="69"/>
      <x:c r="E17" s="69"/>
      <x:c r="F17" s="69"/>
      <x:c r="G17" s="78"/>
      <x:c r="H17" s="69"/>
      <x:c r="I17" s="69"/>
      <x:c r="J17" s="75" t="str">
        <x:f>IF(A17="","",IF(OR(B17="",C17="",D17="",E17="",F17="",G17="",H17=""),"Incomplete",IF(AND(H17&lt;&gt;"Closed",G17&lt;TODAY()),"Overdue",IF(H17="Closed",IF(I17="","Review required","Closed"),"Open"))))</x:f>
      </x:c>
    </x:row>
    <x:row r="18">
      <x:c r="A18" s="69"/>
      <x:c r="B18" s="69"/>
      <x:c r="C18" s="69"/>
      <x:c r="D18" s="69"/>
      <x:c r="E18" s="69"/>
      <x:c r="F18" s="69"/>
      <x:c r="G18" s="78"/>
      <x:c r="H18" s="69"/>
      <x:c r="I18" s="69"/>
      <x:c r="J18" s="75" t="str">
        <x:f>IF(A18="","",IF(OR(B18="",C18="",D18="",E18="",F18="",G18="",H18=""),"Incomplete",IF(AND(H18&lt;&gt;"Closed",G18&lt;TODAY()),"Overdue",IF(H18="Closed",IF(I18="","Review required","Closed"),"Open"))))</x:f>
      </x:c>
    </x:row>
    <x:row r="19">
      <x:c r="A19" s="69"/>
      <x:c r="B19" s="69"/>
      <x:c r="C19" s="69"/>
      <x:c r="D19" s="69"/>
      <x:c r="E19" s="69"/>
      <x:c r="F19" s="69"/>
      <x:c r="G19" s="78"/>
      <x:c r="H19" s="69"/>
      <x:c r="I19" s="69"/>
      <x:c r="J19" s="75" t="str">
        <x:f>IF(A19="","",IF(OR(B19="",C19="",D19="",E19="",F19="",G19="",H19=""),"Incomplete",IF(AND(H19&lt;&gt;"Closed",G19&lt;TODAY()),"Overdue",IF(H19="Closed",IF(I19="","Review required","Closed"),"Open"))))</x:f>
      </x:c>
    </x:row>
    <x:row r="20">
      <x:c r="A20" s="69"/>
      <x:c r="B20" s="69"/>
      <x:c r="C20" s="69"/>
      <x:c r="D20" s="69"/>
      <x:c r="E20" s="69"/>
      <x:c r="F20" s="69"/>
      <x:c r="G20" s="78"/>
      <x:c r="H20" s="69"/>
      <x:c r="I20" s="69"/>
      <x:c r="J20" s="75" t="str">
        <x:f>IF(A20="","",IF(OR(B20="",C20="",D20="",E20="",F20="",G20="",H20=""),"Incomplete",IF(AND(H20&lt;&gt;"Closed",G20&lt;TODAY()),"Overdue",IF(H20="Closed",IF(I20="","Review required","Closed"),"Open"))))</x:f>
      </x:c>
    </x:row>
    <x:row r="21">
      <x:c r="A21" s="69"/>
      <x:c r="B21" s="69"/>
      <x:c r="C21" s="69"/>
      <x:c r="D21" s="69"/>
      <x:c r="E21" s="69"/>
      <x:c r="F21" s="69"/>
      <x:c r="G21" s="78"/>
      <x:c r="H21" s="69"/>
      <x:c r="I21" s="69"/>
      <x:c r="J21" s="75" t="str">
        <x:f>IF(A21="","",IF(OR(B21="",C21="",D21="",E21="",F21="",G21="",H21=""),"Incomplete",IF(AND(H21&lt;&gt;"Closed",G21&lt;TODAY()),"Overdue",IF(H21="Closed",IF(I21="","Review required","Closed"),"Open"))))</x:f>
      </x:c>
    </x:row>
    <x:row r="22">
      <x:c r="A22" s="69"/>
      <x:c r="B22" s="69"/>
      <x:c r="C22" s="69"/>
      <x:c r="D22" s="69"/>
      <x:c r="E22" s="69"/>
      <x:c r="F22" s="69"/>
      <x:c r="G22" s="78"/>
      <x:c r="H22" s="69"/>
      <x:c r="I22" s="69"/>
      <x:c r="J22" s="75" t="str">
        <x:f>IF(A22="","",IF(OR(B22="",C22="",D22="",E22="",F22="",G22="",H22=""),"Incomplete",IF(AND(H22&lt;&gt;"Closed",G22&lt;TODAY()),"Overdue",IF(H22="Closed",IF(I22="","Review required","Closed"),"Open"))))</x:f>
      </x:c>
    </x:row>
    <x:row r="23">
      <x:c r="A23" s="69"/>
      <x:c r="B23" s="69"/>
      <x:c r="C23" s="69"/>
      <x:c r="D23" s="69"/>
      <x:c r="E23" s="69"/>
      <x:c r="F23" s="69"/>
      <x:c r="G23" s="78"/>
      <x:c r="H23" s="69"/>
      <x:c r="I23" s="69"/>
      <x:c r="J23" s="75" t="str">
        <x:f>IF(A23="","",IF(OR(B23="",C23="",D23="",E23="",F23="",G23="",H23=""),"Incomplete",IF(AND(H23&lt;&gt;"Closed",G23&lt;TODAY()),"Overdue",IF(H23="Closed",IF(I23="","Review required","Closed"),"Open"))))</x:f>
      </x:c>
    </x:row>
    <x:row r="24">
      <x:c r="A24" s="69"/>
      <x:c r="B24" s="69"/>
      <x:c r="C24" s="69"/>
      <x:c r="D24" s="69"/>
      <x:c r="E24" s="69"/>
      <x:c r="F24" s="69"/>
      <x:c r="G24" s="78"/>
      <x:c r="H24" s="69"/>
      <x:c r="I24" s="69"/>
      <x:c r="J24" s="75" t="str">
        <x:f>IF(A24="","",IF(OR(B24="",C24="",D24="",E24="",F24="",G24="",H24=""),"Incomplete",IF(AND(H24&lt;&gt;"Closed",G24&lt;TODAY()),"Overdue",IF(H24="Closed",IF(I24="","Review required","Closed"),"Open"))))</x:f>
      </x:c>
    </x:row>
    <x:row r="25">
      <x:c r="A25" s="69"/>
      <x:c r="B25" s="69"/>
      <x:c r="C25" s="69"/>
      <x:c r="D25" s="69"/>
      <x:c r="E25" s="69"/>
      <x:c r="F25" s="69"/>
      <x:c r="G25" s="78"/>
      <x:c r="H25" s="69"/>
      <x:c r="I25" s="69"/>
      <x:c r="J25" s="75" t="str">
        <x:f>IF(A25="","",IF(OR(B25="",C25="",D25="",E25="",F25="",G25="",H25=""),"Incomplete",IF(AND(H25&lt;&gt;"Closed",G25&lt;TODAY()),"Overdue",IF(H25="Closed",IF(I25="","Review required","Closed"),"Open"))))</x:f>
      </x:c>
    </x:row>
    <x:row r="26">
      <x:c r="A26" s="69"/>
      <x:c r="B26" s="69"/>
      <x:c r="C26" s="69"/>
      <x:c r="D26" s="69"/>
      <x:c r="E26" s="69"/>
      <x:c r="F26" s="69"/>
      <x:c r="G26" s="78"/>
      <x:c r="H26" s="69"/>
      <x:c r="I26" s="69"/>
      <x:c r="J26" s="75" t="str">
        <x:f>IF(A26="","",IF(OR(B26="",C26="",D26="",E26="",F26="",G26="",H26=""),"Incomplete",IF(AND(H26&lt;&gt;"Closed",G26&lt;TODAY()),"Overdue",IF(H26="Closed",IF(I26="","Review required","Closed"),"Open"))))</x:f>
      </x:c>
    </x:row>
    <x:row r="27">
      <x:c r="A27" s="69"/>
      <x:c r="B27" s="69"/>
      <x:c r="C27" s="69"/>
      <x:c r="D27" s="69"/>
      <x:c r="E27" s="69"/>
      <x:c r="F27" s="69"/>
      <x:c r="G27" s="78"/>
      <x:c r="H27" s="69"/>
      <x:c r="I27" s="69"/>
      <x:c r="J27" s="75" t="str">
        <x:f>IF(A27="","",IF(OR(B27="",C27="",D27="",E27="",F27="",G27="",H27=""),"Incomplete",IF(AND(H27&lt;&gt;"Closed",G27&lt;TODAY()),"Overdue",IF(H27="Closed",IF(I27="","Review required","Closed"),"Open"))))</x:f>
      </x:c>
    </x:row>
    <x:row r="28">
      <x:c r="A28" s="69"/>
      <x:c r="B28" s="69"/>
      <x:c r="C28" s="69"/>
      <x:c r="D28" s="69"/>
      <x:c r="E28" s="69"/>
      <x:c r="F28" s="69"/>
      <x:c r="G28" s="78"/>
      <x:c r="H28" s="69"/>
      <x:c r="I28" s="69"/>
      <x:c r="J28" s="75" t="str">
        <x:f>IF(A28="","",IF(OR(B28="",C28="",D28="",E28="",F28="",G28="",H28=""),"Incomplete",IF(AND(H28&lt;&gt;"Closed",G28&lt;TODAY()),"Overdue",IF(H28="Closed",IF(I28="","Review required","Closed"),"Open"))))</x:f>
      </x:c>
    </x:row>
    <x:row r="29">
      <x:c r="A29" s="69"/>
      <x:c r="B29" s="69"/>
      <x:c r="C29" s="69"/>
      <x:c r="D29" s="69"/>
      <x:c r="E29" s="69"/>
      <x:c r="F29" s="69"/>
      <x:c r="G29" s="78"/>
      <x:c r="H29" s="69"/>
      <x:c r="I29" s="69"/>
      <x:c r="J29" s="75" t="str">
        <x:f>IF(A29="","",IF(OR(B29="",C29="",D29="",E29="",F29="",G29="",H29=""),"Incomplete",IF(AND(H29&lt;&gt;"Closed",G29&lt;TODAY()),"Overdue",IF(H29="Closed",IF(I29="","Review required","Closed"),"Open"))))</x:f>
      </x:c>
    </x:row>
    <x:row r="30">
      <x:c r="A30" s="69"/>
      <x:c r="B30" s="69"/>
      <x:c r="C30" s="69"/>
      <x:c r="D30" s="69"/>
      <x:c r="E30" s="69"/>
      <x:c r="F30" s="69"/>
      <x:c r="G30" s="78"/>
      <x:c r="H30" s="69"/>
      <x:c r="I30" s="69"/>
      <x:c r="J30" s="75" t="str">
        <x:f>IF(A30="","",IF(OR(B30="",C30="",D30="",E30="",F30="",G30="",H30=""),"Incomplete",IF(AND(H30&lt;&gt;"Closed",G30&lt;TODAY()),"Overdue",IF(H30="Closed",IF(I30="","Review required","Closed"),"Open"))))</x:f>
      </x:c>
    </x:row>
    <x:row r="31">
      <x:c r="A31" s="69"/>
      <x:c r="B31" s="69"/>
      <x:c r="C31" s="69"/>
      <x:c r="D31" s="69"/>
      <x:c r="E31" s="69"/>
      <x:c r="F31" s="69"/>
      <x:c r="G31" s="78"/>
      <x:c r="H31" s="69"/>
      <x:c r="I31" s="69"/>
      <x:c r="J31" s="75" t="str">
        <x:f>IF(A31="","",IF(OR(B31="",C31="",D31="",E31="",F31="",G31="",H31=""),"Incomplete",IF(AND(H31&lt;&gt;"Closed",G31&lt;TODAY()),"Overdue",IF(H31="Closed",IF(I31="","Review required","Closed"),"Open"))))</x:f>
      </x:c>
    </x:row>
    <x:row r="32">
      <x:c r="A32" s="69"/>
      <x:c r="B32" s="69"/>
      <x:c r="C32" s="69"/>
      <x:c r="D32" s="69"/>
      <x:c r="E32" s="69"/>
      <x:c r="F32" s="69"/>
      <x:c r="G32" s="78"/>
      <x:c r="H32" s="69"/>
      <x:c r="I32" s="69"/>
      <x:c r="J32" s="75" t="str">
        <x:f>IF(A32="","",IF(OR(B32="",C32="",D32="",E32="",F32="",G32="",H32=""),"Incomplete",IF(AND(H32&lt;&gt;"Closed",G32&lt;TODAY()),"Overdue",IF(H32="Closed",IF(I32="","Review required","Closed"),"Open"))))</x:f>
      </x:c>
    </x:row>
    <x:row r="33">
      <x:c r="A33" s="69"/>
      <x:c r="B33" s="69"/>
      <x:c r="C33" s="69"/>
      <x:c r="D33" s="69"/>
      <x:c r="E33" s="69"/>
      <x:c r="F33" s="69"/>
      <x:c r="G33" s="78"/>
      <x:c r="H33" s="69"/>
      <x:c r="I33" s="69"/>
      <x:c r="J33" s="75" t="str">
        <x:f>IF(A33="","",IF(OR(B33="",C33="",D33="",E33="",F33="",G33="",H33=""),"Incomplete",IF(AND(H33&lt;&gt;"Closed",G33&lt;TODAY()),"Overdue",IF(H33="Closed",IF(I33="","Review required","Closed"),"Open"))))</x:f>
      </x:c>
    </x:row>
    <x:row r="34">
      <x:c r="A34" s="69"/>
      <x:c r="B34" s="69"/>
      <x:c r="C34" s="69"/>
      <x:c r="D34" s="69"/>
      <x:c r="E34" s="69"/>
      <x:c r="F34" s="69"/>
      <x:c r="G34" s="78"/>
      <x:c r="H34" s="69"/>
      <x:c r="I34" s="69"/>
      <x:c r="J34" s="75" t="str">
        <x:f>IF(A34="","",IF(OR(B34="",C34="",D34="",E34="",F34="",G34="",H34=""),"Incomplete",IF(AND(H34&lt;&gt;"Closed",G34&lt;TODAY()),"Overdue",IF(H34="Closed",IF(I34="","Review required","Closed"),"Open"))))</x:f>
      </x:c>
    </x:row>
    <x:row r="35">
      <x:c r="A35" s="69"/>
      <x:c r="B35" s="69"/>
      <x:c r="C35" s="69"/>
      <x:c r="D35" s="69"/>
      <x:c r="E35" s="69"/>
      <x:c r="F35" s="69"/>
      <x:c r="G35" s="78"/>
      <x:c r="H35" s="69"/>
      <x:c r="I35" s="69"/>
      <x:c r="J35" s="75" t="str">
        <x:f>IF(A35="","",IF(OR(B35="",C35="",D35="",E35="",F35="",G35="",H35=""),"Incomplete",IF(AND(H35&lt;&gt;"Closed",G35&lt;TODAY()),"Overdue",IF(H35="Closed",IF(I35="","Review required","Closed"),"Open"))))</x:f>
      </x:c>
    </x:row>
    <x:row r="36">
      <x:c r="A36" s="69"/>
      <x:c r="B36" s="69"/>
      <x:c r="C36" s="69"/>
      <x:c r="D36" s="69"/>
      <x:c r="E36" s="69"/>
      <x:c r="F36" s="69"/>
      <x:c r="G36" s="78"/>
      <x:c r="H36" s="69"/>
      <x:c r="I36" s="69"/>
      <x:c r="J36" s="75" t="str">
        <x:f>IF(A36="","",IF(OR(B36="",C36="",D36="",E36="",F36="",G36="",H36=""),"Incomplete",IF(AND(H36&lt;&gt;"Closed",G36&lt;TODAY()),"Overdue",IF(H36="Closed",IF(I36="","Review required","Closed"),"Open"))))</x:f>
      </x:c>
    </x:row>
    <x:row r="37">
      <x:c r="A37" s="69"/>
      <x:c r="B37" s="69"/>
      <x:c r="C37" s="69"/>
      <x:c r="D37" s="69"/>
      <x:c r="E37" s="69"/>
      <x:c r="F37" s="69"/>
      <x:c r="G37" s="78"/>
      <x:c r="H37" s="69"/>
      <x:c r="I37" s="69"/>
      <x:c r="J37" s="75" t="str">
        <x:f>IF(A37="","",IF(OR(B37="",C37="",D37="",E37="",F37="",G37="",H37=""),"Incomplete",IF(AND(H37&lt;&gt;"Closed",G37&lt;TODAY()),"Overdue",IF(H37="Closed",IF(I37="","Review required","Closed"),"Open"))))</x:f>
      </x:c>
    </x:row>
    <x:row r="38">
      <x:c r="A38" s="69"/>
      <x:c r="B38" s="69"/>
      <x:c r="C38" s="69"/>
      <x:c r="D38" s="69"/>
      <x:c r="E38" s="69"/>
      <x:c r="F38" s="69"/>
      <x:c r="G38" s="78"/>
      <x:c r="H38" s="69"/>
      <x:c r="I38" s="69"/>
      <x:c r="J38" s="75" t="str">
        <x:f>IF(A38="","",IF(OR(B38="",C38="",D38="",E38="",F38="",G38="",H38=""),"Incomplete",IF(AND(H38&lt;&gt;"Closed",G38&lt;TODAY()),"Overdue",IF(H38="Closed",IF(I38="","Review required","Closed"),"Open"))))</x:f>
      </x:c>
    </x:row>
    <x:row r="39">
      <x:c r="A39" s="69"/>
      <x:c r="B39" s="69"/>
      <x:c r="C39" s="69"/>
      <x:c r="D39" s="69"/>
      <x:c r="E39" s="69"/>
      <x:c r="F39" s="69"/>
      <x:c r="G39" s="78"/>
      <x:c r="H39" s="69"/>
      <x:c r="I39" s="69"/>
      <x:c r="J39" s="75" t="str">
        <x:f>IF(A39="","",IF(OR(B39="",C39="",D39="",E39="",F39="",G39="",H39=""),"Incomplete",IF(AND(H39&lt;&gt;"Closed",G39&lt;TODAY()),"Overdue",IF(H39="Closed",IF(I39="","Review required","Closed"),"Open"))))</x:f>
      </x:c>
    </x:row>
    <x:row r="40">
      <x:c r="A40" s="69"/>
      <x:c r="B40" s="69"/>
      <x:c r="C40" s="69"/>
      <x:c r="D40" s="69"/>
      <x:c r="E40" s="69"/>
      <x:c r="F40" s="69"/>
      <x:c r="G40" s="78"/>
      <x:c r="H40" s="69"/>
      <x:c r="I40" s="69"/>
      <x:c r="J40" s="75" t="str">
        <x:f>IF(A40="","",IF(OR(B40="",C40="",D40="",E40="",F40="",G40="",H40=""),"Incomplete",IF(AND(H40&lt;&gt;"Closed",G40&lt;TODAY()),"Overdue",IF(H40="Closed",IF(I40="","Review required","Closed"),"Open"))))</x:f>
      </x:c>
    </x:row>
    <x:row r="41">
      <x:c r="A41" s="69"/>
      <x:c r="B41" s="69"/>
      <x:c r="C41" s="69"/>
      <x:c r="D41" s="69"/>
      <x:c r="E41" s="69"/>
      <x:c r="F41" s="69"/>
      <x:c r="G41" s="78"/>
      <x:c r="H41" s="69"/>
      <x:c r="I41" s="69"/>
      <x:c r="J41" s="75" t="str">
        <x:f>IF(A41="","",IF(OR(B41="",C41="",D41="",E41="",F41="",G41="",H41=""),"Incomplete",IF(AND(H41&lt;&gt;"Closed",G41&lt;TODAY()),"Overdue",IF(H41="Closed",IF(I41="","Review required","Closed"),"Open"))))</x:f>
      </x:c>
    </x:row>
    <x:row r="42">
      <x:c r="A42" s="69"/>
      <x:c r="B42" s="69"/>
      <x:c r="C42" s="69"/>
      <x:c r="D42" s="69"/>
      <x:c r="E42" s="69"/>
      <x:c r="F42" s="69"/>
      <x:c r="G42" s="78"/>
      <x:c r="H42" s="69"/>
      <x:c r="I42" s="69"/>
      <x:c r="J42" s="75" t="str">
        <x:f>IF(A42="","",IF(OR(B42="",C42="",D42="",E42="",F42="",G42="",H42=""),"Incomplete",IF(AND(H42&lt;&gt;"Closed",G42&lt;TODAY()),"Overdue",IF(H42="Closed",IF(I42="","Review required","Closed"),"Open"))))</x:f>
      </x:c>
    </x:row>
    <x:row r="43">
      <x:c r="A43" s="69"/>
      <x:c r="B43" s="69"/>
      <x:c r="C43" s="69"/>
      <x:c r="D43" s="69"/>
      <x:c r="E43" s="69"/>
      <x:c r="F43" s="69"/>
      <x:c r="G43" s="78"/>
      <x:c r="H43" s="69"/>
      <x:c r="I43" s="69"/>
      <x:c r="J43" s="75" t="str">
        <x:f>IF(A43="","",IF(OR(B43="",C43="",D43="",E43="",F43="",G43="",H43=""),"Incomplete",IF(AND(H43&lt;&gt;"Closed",G43&lt;TODAY()),"Overdue",IF(H43="Closed",IF(I43="","Review required","Closed"),"Open"))))</x:f>
      </x:c>
    </x:row>
    <x:row r="44">
      <x:c r="A44" s="69"/>
      <x:c r="B44" s="69"/>
      <x:c r="C44" s="69"/>
      <x:c r="D44" s="69"/>
      <x:c r="E44" s="69"/>
      <x:c r="F44" s="69"/>
      <x:c r="G44" s="78"/>
      <x:c r="H44" s="69"/>
      <x:c r="I44" s="69"/>
      <x:c r="J44" s="75" t="str">
        <x:f>IF(A44="","",IF(OR(B44="",C44="",D44="",E44="",F44="",G44="",H44=""),"Incomplete",IF(AND(H44&lt;&gt;"Closed",G44&lt;TODAY()),"Overdue",IF(H44="Closed",IF(I44="","Review required","Closed"),"Open"))))</x:f>
      </x:c>
    </x:row>
    <x:row r="45">
      <x:c r="A45" s="69"/>
      <x:c r="B45" s="69"/>
      <x:c r="C45" s="69"/>
      <x:c r="D45" s="69"/>
      <x:c r="E45" s="69"/>
      <x:c r="F45" s="69"/>
      <x:c r="G45" s="78"/>
      <x:c r="H45" s="69"/>
      <x:c r="I45" s="69"/>
      <x:c r="J45" s="75" t="str">
        <x:f>IF(A45="","",IF(OR(B45="",C45="",D45="",E45="",F45="",G45="",H45=""),"Incomplete",IF(AND(H45&lt;&gt;"Closed",G45&lt;TODAY()),"Overdue",IF(H45="Closed",IF(I45="","Review required","Closed"),"Open"))))</x:f>
      </x:c>
    </x:row>
    <x:row r="46">
      <x:c r="A46" s="69"/>
      <x:c r="B46" s="69"/>
      <x:c r="C46" s="69"/>
      <x:c r="D46" s="69"/>
      <x:c r="E46" s="69"/>
      <x:c r="F46" s="69"/>
      <x:c r="G46" s="78"/>
      <x:c r="H46" s="69"/>
      <x:c r="I46" s="69"/>
      <x:c r="J46" s="75" t="str">
        <x:f>IF(A46="","",IF(OR(B46="",C46="",D46="",E46="",F46="",G46="",H46=""),"Incomplete",IF(AND(H46&lt;&gt;"Closed",G46&lt;TODAY()),"Overdue",IF(H46="Closed",IF(I46="","Review required","Closed"),"Open"))))</x:f>
      </x:c>
    </x:row>
    <x:row r="47">
      <x:c r="A47" s="69"/>
      <x:c r="B47" s="69"/>
      <x:c r="C47" s="69"/>
      <x:c r="D47" s="69"/>
      <x:c r="E47" s="69"/>
      <x:c r="F47" s="69"/>
      <x:c r="G47" s="78"/>
      <x:c r="H47" s="69"/>
      <x:c r="I47" s="69"/>
      <x:c r="J47" s="75" t="str">
        <x:f>IF(A47="","",IF(OR(B47="",C47="",D47="",E47="",F47="",G47="",H47=""),"Incomplete",IF(AND(H47&lt;&gt;"Closed",G47&lt;TODAY()),"Overdue",IF(H47="Closed",IF(I47="","Review required","Closed"),"Open"))))</x:f>
      </x:c>
    </x:row>
    <x:row r="48">
      <x:c r="A48" s="69"/>
      <x:c r="B48" s="69"/>
      <x:c r="C48" s="69"/>
      <x:c r="D48" s="69"/>
      <x:c r="E48" s="69"/>
      <x:c r="F48" s="69"/>
      <x:c r="G48" s="78"/>
      <x:c r="H48" s="69"/>
      <x:c r="I48" s="69"/>
      <x:c r="J48" s="75" t="str">
        <x:f>IF(A48="","",IF(OR(B48="",C48="",D48="",E48="",F48="",G48="",H48=""),"Incomplete",IF(AND(H48&lt;&gt;"Closed",G48&lt;TODAY()),"Overdue",IF(H48="Closed",IF(I48="","Review required","Closed"),"Open"))))</x:f>
      </x:c>
    </x:row>
    <x:row r="49">
      <x:c r="A49" s="69"/>
      <x:c r="B49" s="69"/>
      <x:c r="C49" s="69"/>
      <x:c r="D49" s="69"/>
      <x:c r="E49" s="69"/>
      <x:c r="F49" s="69"/>
      <x:c r="G49" s="78"/>
      <x:c r="H49" s="69"/>
      <x:c r="I49" s="69"/>
      <x:c r="J49" s="75" t="str">
        <x:f>IF(A49="","",IF(OR(B49="",C49="",D49="",E49="",F49="",G49="",H49=""),"Incomplete",IF(AND(H49&lt;&gt;"Closed",G49&lt;TODAY()),"Overdue",IF(H49="Closed",IF(I49="","Review required","Closed"),"Open"))))</x:f>
      </x:c>
    </x:row>
    <x:row r="50">
      <x:c r="A50" s="69"/>
      <x:c r="B50" s="69"/>
      <x:c r="C50" s="69"/>
      <x:c r="D50" s="69"/>
      <x:c r="E50" s="69"/>
      <x:c r="F50" s="69"/>
      <x:c r="G50" s="78"/>
      <x:c r="H50" s="69"/>
      <x:c r="I50" s="69"/>
      <x:c r="J50" s="75" t="str">
        <x:f>IF(A50="","",IF(OR(B50="",C50="",D50="",E50="",F50="",G50="",H50=""),"Incomplete",IF(AND(H50&lt;&gt;"Closed",G50&lt;TODAY()),"Overdue",IF(H50="Closed",IF(I50="","Review required","Closed"),"Open"))))</x:f>
      </x:c>
    </x:row>
    <x:row r="51">
      <x:c r="A51" s="69"/>
      <x:c r="B51" s="69"/>
      <x:c r="C51" s="69"/>
      <x:c r="D51" s="69"/>
      <x:c r="E51" s="69"/>
      <x:c r="F51" s="69"/>
      <x:c r="G51" s="78"/>
      <x:c r="H51" s="69"/>
      <x:c r="I51" s="69"/>
      <x:c r="J51" s="75" t="str">
        <x:f>IF(A51="","",IF(OR(B51="",C51="",D51="",E51="",F51="",G51="",H51=""),"Incomplete",IF(AND(H51&lt;&gt;"Closed",G51&lt;TODAY()),"Overdue",IF(H51="Closed",IF(I51="","Review required","Closed"),"Open"))))</x:f>
      </x:c>
    </x:row>
    <x:row r="52">
      <x:c r="A52" s="69"/>
      <x:c r="B52" s="69"/>
      <x:c r="C52" s="69"/>
      <x:c r="D52" s="69"/>
      <x:c r="E52" s="69"/>
      <x:c r="F52" s="69"/>
      <x:c r="G52" s="78"/>
      <x:c r="H52" s="69"/>
      <x:c r="I52" s="69"/>
      <x:c r="J52" s="75" t="str">
        <x:f>IF(A52="","",IF(OR(B52="",C52="",D52="",E52="",F52="",G52="",H52=""),"Incomplete",IF(AND(H52&lt;&gt;"Closed",G52&lt;TODAY()),"Overdue",IF(H52="Closed",IF(I52="","Review required","Closed"),"Open"))))</x:f>
      </x:c>
    </x:row>
    <x:row r="53">
      <x:c r="A53" s="69"/>
      <x:c r="B53" s="69"/>
      <x:c r="C53" s="69"/>
      <x:c r="D53" s="69"/>
      <x:c r="E53" s="69"/>
      <x:c r="F53" s="69"/>
      <x:c r="G53" s="78"/>
      <x:c r="H53" s="69"/>
      <x:c r="I53" s="69"/>
      <x:c r="J53" s="75" t="str">
        <x:f>IF(A53="","",IF(OR(B53="",C53="",D53="",E53="",F53="",G53="",H53=""),"Incomplete",IF(AND(H53&lt;&gt;"Closed",G53&lt;TODAY()),"Overdue",IF(H53="Closed",IF(I53="","Review required","Closed"),"Open"))))</x:f>
      </x:c>
    </x:row>
    <x:row r="54">
      <x:c r="A54" s="69"/>
      <x:c r="B54" s="69"/>
      <x:c r="C54" s="69"/>
      <x:c r="D54" s="69"/>
      <x:c r="E54" s="69"/>
      <x:c r="F54" s="69"/>
      <x:c r="G54" s="78"/>
      <x:c r="H54" s="69"/>
      <x:c r="I54" s="69"/>
      <x:c r="J54" s="75" t="str">
        <x:f>IF(A54="","",IF(OR(B54="",C54="",D54="",E54="",F54="",G54="",H54=""),"Incomplete",IF(AND(H54&lt;&gt;"Closed",G54&lt;TODAY()),"Overdue",IF(H54="Closed",IF(I54="","Review required","Closed"),"Open"))))</x:f>
      </x:c>
    </x:row>
    <x:row r="55">
      <x:c r="A55" s="69"/>
      <x:c r="B55" s="69"/>
      <x:c r="C55" s="69"/>
      <x:c r="D55" s="69"/>
      <x:c r="E55" s="69"/>
      <x:c r="F55" s="69"/>
      <x:c r="G55" s="78"/>
      <x:c r="H55" s="69"/>
      <x:c r="I55" s="69"/>
      <x:c r="J55" s="75" t="str">
        <x:f>IF(A55="","",IF(OR(B55="",C55="",D55="",E55="",F55="",G55="",H55=""),"Incomplete",IF(AND(H55&lt;&gt;"Closed",G55&lt;TODAY()),"Overdue",IF(H55="Closed",IF(I55="","Review required","Closed"),"Open"))))</x:f>
      </x:c>
    </x:row>
    <x:row r="56">
      <x:c r="A56" s="69"/>
      <x:c r="B56" s="69"/>
      <x:c r="C56" s="69"/>
      <x:c r="D56" s="69"/>
      <x:c r="E56" s="69"/>
      <x:c r="F56" s="69"/>
      <x:c r="G56" s="78"/>
      <x:c r="H56" s="69"/>
      <x:c r="I56" s="69"/>
      <x:c r="J56" s="75" t="str">
        <x:f>IF(A56="","",IF(OR(B56="",C56="",D56="",E56="",F56="",G56="",H56=""),"Incomplete",IF(AND(H56&lt;&gt;"Closed",G56&lt;TODAY()),"Overdue",IF(H56="Closed",IF(I56="","Review required","Closed"),"Open"))))</x:f>
      </x:c>
    </x:row>
    <x:row r="57">
      <x:c r="A57" s="69"/>
      <x:c r="B57" s="69"/>
      <x:c r="C57" s="69"/>
      <x:c r="D57" s="69"/>
      <x:c r="E57" s="69"/>
      <x:c r="F57" s="69"/>
      <x:c r="G57" s="78"/>
      <x:c r="H57" s="69"/>
      <x:c r="I57" s="69"/>
      <x:c r="J57" s="75" t="str">
        <x:f>IF(A57="","",IF(OR(B57="",C57="",D57="",E57="",F57="",G57="",H57=""),"Incomplete",IF(AND(H57&lt;&gt;"Closed",G57&lt;TODAY()),"Overdue",IF(H57="Closed",IF(I57="","Review required","Closed"),"Open"))))</x:f>
      </x:c>
    </x:row>
    <x:row r="58">
      <x:c r="A58" s="69"/>
      <x:c r="B58" s="69"/>
      <x:c r="C58" s="69"/>
      <x:c r="D58" s="69"/>
      <x:c r="E58" s="69"/>
      <x:c r="F58" s="69"/>
      <x:c r="G58" s="78"/>
      <x:c r="H58" s="69"/>
      <x:c r="I58" s="69"/>
      <x:c r="J58" s="75" t="str">
        <x:f>IF(A58="","",IF(OR(B58="",C58="",D58="",E58="",F58="",G58="",H58=""),"Incomplete",IF(AND(H58&lt;&gt;"Closed",G58&lt;TODAY()),"Overdue",IF(H58="Closed",IF(I58="","Review required","Closed"),"Open"))))</x:f>
      </x:c>
    </x:row>
    <x:row r="59">
      <x:c r="A59" s="69"/>
      <x:c r="B59" s="69"/>
      <x:c r="C59" s="69"/>
      <x:c r="D59" s="69"/>
      <x:c r="E59" s="69"/>
      <x:c r="F59" s="69"/>
      <x:c r="G59" s="78"/>
      <x:c r="H59" s="69"/>
      <x:c r="I59" s="69"/>
      <x:c r="J59" s="75" t="str">
        <x:f>IF(A59="","",IF(OR(B59="",C59="",D59="",E59="",F59="",G59="",H59=""),"Incomplete",IF(AND(H59&lt;&gt;"Closed",G59&lt;TODAY()),"Overdue",IF(H59="Closed",IF(I59="","Review required","Closed"),"Open"))))</x:f>
      </x:c>
    </x:row>
    <x:row r="60">
      <x:c r="A60" s="69"/>
      <x:c r="B60" s="69"/>
      <x:c r="C60" s="69"/>
      <x:c r="D60" s="69"/>
      <x:c r="E60" s="69"/>
      <x:c r="F60" s="69"/>
      <x:c r="G60" s="78"/>
      <x:c r="H60" s="69"/>
      <x:c r="I60" s="69"/>
      <x:c r="J60" s="75" t="str">
        <x:f>IF(A60="","",IF(OR(B60="",C60="",D60="",E60="",F60="",G60="",H60=""),"Incomplete",IF(AND(H60&lt;&gt;"Closed",G60&lt;TODAY()),"Overdue",IF(H60="Closed",IF(I60="","Review required","Closed"),"Open"))))</x:f>
      </x:c>
    </x:row>
    <x:row r="61">
      <x:c r="A61" s="69"/>
      <x:c r="B61" s="69"/>
      <x:c r="C61" s="69"/>
      <x:c r="D61" s="69"/>
      <x:c r="E61" s="69"/>
      <x:c r="F61" s="69"/>
      <x:c r="G61" s="78"/>
      <x:c r="H61" s="69"/>
      <x:c r="I61" s="69"/>
      <x:c r="J61" s="75" t="str">
        <x:f>IF(A61="","",IF(OR(B61="",C61="",D61="",E61="",F61="",G61="",H61=""),"Incomplete",IF(AND(H61&lt;&gt;"Closed",G61&lt;TODAY()),"Overdue",IF(H61="Closed",IF(I61="","Review required","Closed"),"Open"))))</x:f>
      </x:c>
    </x:row>
    <x:row r="62">
      <x:c r="A62" s="69"/>
      <x:c r="B62" s="69"/>
      <x:c r="C62" s="69"/>
      <x:c r="D62" s="69"/>
      <x:c r="E62" s="69"/>
      <x:c r="F62" s="69"/>
      <x:c r="G62" s="78"/>
      <x:c r="H62" s="69"/>
      <x:c r="I62" s="69"/>
      <x:c r="J62" s="75" t="str">
        <x:f>IF(A62="","",IF(OR(B62="",C62="",D62="",E62="",F62="",G62="",H62=""),"Incomplete",IF(AND(H62&lt;&gt;"Closed",G62&lt;TODAY()),"Overdue",IF(H62="Closed",IF(I62="","Review required","Closed"),"Open"))))</x:f>
      </x:c>
    </x:row>
    <x:row r="63">
      <x:c r="A63" s="69"/>
      <x:c r="B63" s="69"/>
      <x:c r="C63" s="69"/>
      <x:c r="D63" s="69"/>
      <x:c r="E63" s="69"/>
      <x:c r="F63" s="69"/>
      <x:c r="G63" s="78"/>
      <x:c r="H63" s="69"/>
      <x:c r="I63" s="69"/>
      <x:c r="J63" s="75" t="str">
        <x:f>IF(A63="","",IF(OR(B63="",C63="",D63="",E63="",F63="",G63="",H63=""),"Incomplete",IF(AND(H63&lt;&gt;"Closed",G63&lt;TODAY()),"Overdue",IF(H63="Closed",IF(I63="","Review required","Closed"),"Open"))))</x:f>
      </x:c>
    </x:row>
    <x:row r="64">
      <x:c r="A64" s="69"/>
      <x:c r="B64" s="69"/>
      <x:c r="C64" s="69"/>
      <x:c r="D64" s="69"/>
      <x:c r="E64" s="69"/>
      <x:c r="F64" s="69"/>
      <x:c r="G64" s="78"/>
      <x:c r="H64" s="69"/>
      <x:c r="I64" s="69"/>
      <x:c r="J64" s="75" t="str">
        <x:f>IF(A64="","",IF(OR(B64="",C64="",D64="",E64="",F64="",G64="",H64=""),"Incomplete",IF(AND(H64&lt;&gt;"Closed",G64&lt;TODAY()),"Overdue",IF(H64="Closed",IF(I64="","Review required","Closed"),"Open"))))</x:f>
      </x:c>
    </x:row>
    <x:row r="65">
      <x:c r="A65" s="69"/>
      <x:c r="B65" s="69"/>
      <x:c r="C65" s="69"/>
      <x:c r="D65" s="69"/>
      <x:c r="E65" s="69"/>
      <x:c r="F65" s="69"/>
      <x:c r="G65" s="78"/>
      <x:c r="H65" s="69"/>
      <x:c r="I65" s="69"/>
      <x:c r="J65" s="75" t="str">
        <x:f>IF(A65="","",IF(OR(B65="",C65="",D65="",E65="",F65="",G65="",H65=""),"Incomplete",IF(AND(H65&lt;&gt;"Closed",G65&lt;TODAY()),"Overdue",IF(H65="Closed",IF(I65="","Review required","Closed"),"Open"))))</x:f>
      </x:c>
    </x:row>
    <x:row r="66">
      <x:c r="A66" s="69"/>
      <x:c r="B66" s="69"/>
      <x:c r="C66" s="69"/>
      <x:c r="D66" s="69"/>
      <x:c r="E66" s="69"/>
      <x:c r="F66" s="69"/>
      <x:c r="G66" s="78"/>
      <x:c r="H66" s="69"/>
      <x:c r="I66" s="69"/>
      <x:c r="J66" s="75" t="str">
        <x:f>IF(A66="","",IF(OR(B66="",C66="",D66="",E66="",F66="",G66="",H66=""),"Incomplete",IF(AND(H66&lt;&gt;"Closed",G66&lt;TODAY()),"Overdue",IF(H66="Closed",IF(I66="","Review required","Closed"),"Open"))))</x:f>
      </x:c>
    </x:row>
    <x:row r="67">
      <x:c r="A67" s="69"/>
      <x:c r="B67" s="69"/>
      <x:c r="C67" s="69"/>
      <x:c r="D67" s="69"/>
      <x:c r="E67" s="69"/>
      <x:c r="F67" s="69"/>
      <x:c r="G67" s="78"/>
      <x:c r="H67" s="69"/>
      <x:c r="I67" s="69"/>
      <x:c r="J67" s="75" t="str">
        <x:f>IF(A67="","",IF(OR(B67="",C67="",D67="",E67="",F67="",G67="",H67=""),"Incomplete",IF(AND(H67&lt;&gt;"Closed",G67&lt;TODAY()),"Overdue",IF(H67="Closed",IF(I67="","Review required","Closed"),"Open"))))</x:f>
      </x:c>
    </x:row>
    <x:row r="68">
      <x:c r="A68" s="69"/>
      <x:c r="B68" s="69"/>
      <x:c r="C68" s="69"/>
      <x:c r="D68" s="69"/>
      <x:c r="E68" s="69"/>
      <x:c r="F68" s="69"/>
      <x:c r="G68" s="78"/>
      <x:c r="H68" s="69"/>
      <x:c r="I68" s="69"/>
      <x:c r="J68" s="75" t="str">
        <x:f>IF(A68="","",IF(OR(B68="",C68="",D68="",E68="",F68="",G68="",H68=""),"Incomplete",IF(AND(H68&lt;&gt;"Closed",G68&lt;TODAY()),"Overdue",IF(H68="Closed",IF(I68="","Review required","Closed"),"Open"))))</x:f>
      </x:c>
    </x:row>
    <x:row r="69">
      <x:c r="A69" s="69"/>
      <x:c r="B69" s="69"/>
      <x:c r="C69" s="69"/>
      <x:c r="D69" s="69"/>
      <x:c r="E69" s="69"/>
      <x:c r="F69" s="69"/>
      <x:c r="G69" s="78"/>
      <x:c r="H69" s="69"/>
      <x:c r="I69" s="69"/>
      <x:c r="J69" s="75" t="str">
        <x:f>IF(A69="","",IF(OR(B69="",C69="",D69="",E69="",F69="",G69="",H69=""),"Incomplete",IF(AND(H69&lt;&gt;"Closed",G69&lt;TODAY()),"Overdue",IF(H69="Closed",IF(I69="","Review required","Closed"),"Open"))))</x:f>
      </x:c>
    </x:row>
    <x:row r="70">
      <x:c r="A70" s="69"/>
      <x:c r="B70" s="69"/>
      <x:c r="C70" s="69"/>
      <x:c r="D70" s="69"/>
      <x:c r="E70" s="69"/>
      <x:c r="F70" s="69"/>
      <x:c r="G70" s="78"/>
      <x:c r="H70" s="69"/>
      <x:c r="I70" s="69"/>
      <x:c r="J70" s="75" t="str">
        <x:f>IF(A70="","",IF(OR(B70="",C70="",D70="",E70="",F70="",G70="",H70=""),"Incomplete",IF(AND(H70&lt;&gt;"Closed",G70&lt;TODAY()),"Overdue",IF(H70="Closed",IF(I70="","Review required","Closed"),"Open"))))</x:f>
      </x:c>
    </x:row>
    <x:row r="71">
      <x:c r="A71" s="69"/>
      <x:c r="B71" s="69"/>
      <x:c r="C71" s="69"/>
      <x:c r="D71" s="69"/>
      <x:c r="E71" s="69"/>
      <x:c r="F71" s="69"/>
      <x:c r="G71" s="78"/>
      <x:c r="H71" s="69"/>
      <x:c r="I71" s="69"/>
      <x:c r="J71" s="75" t="str">
        <x:f>IF(A71="","",IF(OR(B71="",C71="",D71="",E71="",F71="",G71="",H71=""),"Incomplete",IF(AND(H71&lt;&gt;"Closed",G71&lt;TODAY()),"Overdue",IF(H71="Closed",IF(I71="","Review required","Closed"),"Open"))))</x:f>
      </x:c>
    </x:row>
    <x:row r="72">
      <x:c r="A72" s="69"/>
      <x:c r="B72" s="69"/>
      <x:c r="C72" s="69"/>
      <x:c r="D72" s="69"/>
      <x:c r="E72" s="69"/>
      <x:c r="F72" s="69"/>
      <x:c r="G72" s="78"/>
      <x:c r="H72" s="69"/>
      <x:c r="I72" s="69"/>
      <x:c r="J72" s="75" t="str">
        <x:f>IF(A72="","",IF(OR(B72="",C72="",D72="",E72="",F72="",G72="",H72=""),"Incomplete",IF(AND(H72&lt;&gt;"Closed",G72&lt;TODAY()),"Overdue",IF(H72="Closed",IF(I72="","Review required","Closed"),"Open"))))</x:f>
      </x:c>
    </x:row>
    <x:row r="73">
      <x:c r="A73" s="69"/>
      <x:c r="B73" s="69"/>
      <x:c r="C73" s="69"/>
      <x:c r="D73" s="69"/>
      <x:c r="E73" s="69"/>
      <x:c r="F73" s="69"/>
      <x:c r="G73" s="78"/>
      <x:c r="H73" s="69"/>
      <x:c r="I73" s="69"/>
      <x:c r="J73" s="75" t="str">
        <x:f>IF(A73="","",IF(OR(B73="",C73="",D73="",E73="",F73="",G73="",H73=""),"Incomplete",IF(AND(H73&lt;&gt;"Closed",G73&lt;TODAY()),"Overdue",IF(H73="Closed",IF(I73="","Review required","Closed"),"Open"))))</x:f>
      </x:c>
    </x:row>
    <x:row r="74">
      <x:c r="A74" s="69"/>
      <x:c r="B74" s="69"/>
      <x:c r="C74" s="69"/>
      <x:c r="D74" s="69"/>
      <x:c r="E74" s="69"/>
      <x:c r="F74" s="69"/>
      <x:c r="G74" s="78"/>
      <x:c r="H74" s="69"/>
      <x:c r="I74" s="69"/>
      <x:c r="J74" s="75" t="str">
        <x:f>IF(A74="","",IF(OR(B74="",C74="",D74="",E74="",F74="",G74="",H74=""),"Incomplete",IF(AND(H74&lt;&gt;"Closed",G74&lt;TODAY()),"Overdue",IF(H74="Closed",IF(I74="","Review required","Closed"),"Open"))))</x:f>
      </x:c>
    </x:row>
    <x:row r="75">
      <x:c r="A75" s="69"/>
      <x:c r="B75" s="69"/>
      <x:c r="C75" s="69"/>
      <x:c r="D75" s="69"/>
      <x:c r="E75" s="69"/>
      <x:c r="F75" s="69"/>
      <x:c r="G75" s="78"/>
      <x:c r="H75" s="69"/>
      <x:c r="I75" s="69"/>
      <x:c r="J75" s="75" t="str">
        <x:f>IF(A75="","",IF(OR(B75="",C75="",D75="",E75="",F75="",G75="",H75=""),"Incomplete",IF(AND(H75&lt;&gt;"Closed",G75&lt;TODAY()),"Overdue",IF(H75="Closed",IF(I75="","Review required","Closed"),"Open"))))</x:f>
      </x:c>
    </x:row>
    <x:row r="76">
      <x:c r="A76" s="69"/>
      <x:c r="B76" s="69"/>
      <x:c r="C76" s="69"/>
      <x:c r="D76" s="69"/>
      <x:c r="E76" s="69"/>
      <x:c r="F76" s="69"/>
      <x:c r="G76" s="78"/>
      <x:c r="H76" s="69"/>
      <x:c r="I76" s="69"/>
      <x:c r="J76" s="75" t="str">
        <x:f>IF(A76="","",IF(OR(B76="",C76="",D76="",E76="",F76="",G76="",H76=""),"Incomplete",IF(AND(H76&lt;&gt;"Closed",G76&lt;TODAY()),"Overdue",IF(H76="Closed",IF(I76="","Review required","Closed"),"Open"))))</x:f>
      </x:c>
    </x:row>
    <x:row r="77">
      <x:c r="A77" s="69"/>
      <x:c r="B77" s="69"/>
      <x:c r="C77" s="69"/>
      <x:c r="D77" s="69"/>
      <x:c r="E77" s="69"/>
      <x:c r="F77" s="69"/>
      <x:c r="G77" s="78"/>
      <x:c r="H77" s="69"/>
      <x:c r="I77" s="69"/>
      <x:c r="J77" s="75" t="str">
        <x:f>IF(A77="","",IF(OR(B77="",C77="",D77="",E77="",F77="",G77="",H77=""),"Incomplete",IF(AND(H77&lt;&gt;"Closed",G77&lt;TODAY()),"Overdue",IF(H77="Closed",IF(I77="","Review required","Closed"),"Open"))))</x:f>
      </x:c>
    </x:row>
    <x:row r="78">
      <x:c r="A78" s="69"/>
      <x:c r="B78" s="69"/>
      <x:c r="C78" s="69"/>
      <x:c r="D78" s="69"/>
      <x:c r="E78" s="69"/>
      <x:c r="F78" s="69"/>
      <x:c r="G78" s="78"/>
      <x:c r="H78" s="69"/>
      <x:c r="I78" s="69"/>
      <x:c r="J78" s="75" t="str">
        <x:f>IF(A78="","",IF(OR(B78="",C78="",D78="",E78="",F78="",G78="",H78=""),"Incomplete",IF(AND(H78&lt;&gt;"Closed",G78&lt;TODAY()),"Overdue",IF(H78="Closed",IF(I78="","Review required","Closed"),"Open"))))</x:f>
      </x:c>
    </x:row>
    <x:row r="79">
      <x:c r="A79" s="69"/>
      <x:c r="B79" s="69"/>
      <x:c r="C79" s="69"/>
      <x:c r="D79" s="69"/>
      <x:c r="E79" s="69"/>
      <x:c r="F79" s="69"/>
      <x:c r="G79" s="78"/>
      <x:c r="H79" s="69"/>
      <x:c r="I79" s="69"/>
      <x:c r="J79" s="75" t="str">
        <x:f>IF(A79="","",IF(OR(B79="",C79="",D79="",E79="",F79="",G79="",H79=""),"Incomplete",IF(AND(H79&lt;&gt;"Closed",G79&lt;TODAY()),"Overdue",IF(H79="Closed",IF(I79="","Review required","Closed"),"Open"))))</x:f>
      </x:c>
    </x:row>
    <x:row r="80">
      <x:c r="A80" s="69"/>
      <x:c r="B80" s="69"/>
      <x:c r="C80" s="69"/>
      <x:c r="D80" s="69"/>
      <x:c r="E80" s="69"/>
      <x:c r="F80" s="69"/>
      <x:c r="G80" s="78"/>
      <x:c r="H80" s="69"/>
      <x:c r="I80" s="69"/>
      <x:c r="J80" s="75" t="str">
        <x:f>IF(A80="","",IF(OR(B80="",C80="",D80="",E80="",F80="",G80="",H80=""),"Incomplete",IF(AND(H80&lt;&gt;"Closed",G80&lt;TODAY()),"Overdue",IF(H80="Closed",IF(I80="","Review required","Closed"),"Open"))))</x:f>
      </x:c>
    </x:row>
    <x:row r="81">
      <x:c r="A81" s="69"/>
      <x:c r="B81" s="69"/>
      <x:c r="C81" s="69"/>
      <x:c r="D81" s="69"/>
      <x:c r="E81" s="69"/>
      <x:c r="F81" s="69"/>
      <x:c r="G81" s="78"/>
      <x:c r="H81" s="69"/>
      <x:c r="I81" s="69"/>
      <x:c r="J81" s="75" t="str">
        <x:f>IF(A81="","",IF(OR(B81="",C81="",D81="",E81="",F81="",G81="",H81=""),"Incomplete",IF(AND(H81&lt;&gt;"Closed",G81&lt;TODAY()),"Overdue",IF(H81="Closed",IF(I81="","Review required","Closed"),"Open"))))</x:f>
      </x:c>
    </x:row>
    <x:row r="82">
      <x:c r="A82" s="69"/>
      <x:c r="B82" s="69"/>
      <x:c r="C82" s="69"/>
      <x:c r="D82" s="69"/>
      <x:c r="E82" s="69"/>
      <x:c r="F82" s="69"/>
      <x:c r="G82" s="78"/>
      <x:c r="H82" s="69"/>
      <x:c r="I82" s="69"/>
      <x:c r="J82" s="75" t="str">
        <x:f>IF(A82="","",IF(OR(B82="",C82="",D82="",E82="",F82="",G82="",H82=""),"Incomplete",IF(AND(H82&lt;&gt;"Closed",G82&lt;TODAY()),"Overdue",IF(H82="Closed",IF(I82="","Review required","Closed"),"Open"))))</x:f>
      </x:c>
    </x:row>
    <x:row r="83">
      <x:c r="A83" s="69"/>
      <x:c r="B83" s="69"/>
      <x:c r="C83" s="69"/>
      <x:c r="D83" s="69"/>
      <x:c r="E83" s="69"/>
      <x:c r="F83" s="69"/>
      <x:c r="G83" s="78"/>
      <x:c r="H83" s="69"/>
      <x:c r="I83" s="69"/>
      <x:c r="J83" s="75" t="str">
        <x:f>IF(A83="","",IF(OR(B83="",C83="",D83="",E83="",F83="",G83="",H83=""),"Incomplete",IF(AND(H83&lt;&gt;"Closed",G83&lt;TODAY()),"Overdue",IF(H83="Closed",IF(I83="","Review required","Closed"),"Open"))))</x:f>
      </x:c>
    </x:row>
    <x:row r="84">
      <x:c r="A84" s="69"/>
      <x:c r="B84" s="69"/>
      <x:c r="C84" s="69"/>
      <x:c r="D84" s="69"/>
      <x:c r="E84" s="69"/>
      <x:c r="F84" s="69"/>
      <x:c r="G84" s="78"/>
      <x:c r="H84" s="69"/>
      <x:c r="I84" s="69"/>
      <x:c r="J84" s="75" t="str">
        <x:f>IF(A84="","",IF(OR(B84="",C84="",D84="",E84="",F84="",G84="",H84=""),"Incomplete",IF(AND(H84&lt;&gt;"Closed",G84&lt;TODAY()),"Overdue",IF(H84="Closed",IF(I84="","Review required","Closed"),"Open"))))</x:f>
      </x:c>
    </x:row>
    <x:row r="85">
      <x:c r="A85" s="69"/>
      <x:c r="B85" s="69"/>
      <x:c r="C85" s="69"/>
      <x:c r="D85" s="69"/>
      <x:c r="E85" s="69"/>
      <x:c r="F85" s="69"/>
      <x:c r="G85" s="78"/>
      <x:c r="H85" s="69"/>
      <x:c r="I85" s="69"/>
      <x:c r="J85" s="75" t="str">
        <x:f>IF(A85="","",IF(OR(B85="",C85="",D85="",E85="",F85="",G85="",H85=""),"Incomplete",IF(AND(H85&lt;&gt;"Closed",G85&lt;TODAY()),"Overdue",IF(H85="Closed",IF(I85="","Review required","Closed"),"Open"))))</x:f>
      </x:c>
    </x:row>
    <x:row r="86">
      <x:c r="A86" s="69"/>
      <x:c r="B86" s="69"/>
      <x:c r="C86" s="69"/>
      <x:c r="D86" s="69"/>
      <x:c r="E86" s="69"/>
      <x:c r="F86" s="69"/>
      <x:c r="G86" s="78"/>
      <x:c r="H86" s="69"/>
      <x:c r="I86" s="69"/>
      <x:c r="J86" s="75" t="str">
        <x:f>IF(A86="","",IF(OR(B86="",C86="",D86="",E86="",F86="",G86="",H86=""),"Incomplete",IF(AND(H86&lt;&gt;"Closed",G86&lt;TODAY()),"Overdue",IF(H86="Closed",IF(I86="","Review required","Closed"),"Open"))))</x:f>
      </x:c>
    </x:row>
    <x:row r="87">
      <x:c r="A87" s="69"/>
      <x:c r="B87" s="69"/>
      <x:c r="C87" s="69"/>
      <x:c r="D87" s="69"/>
      <x:c r="E87" s="69"/>
      <x:c r="F87" s="69"/>
      <x:c r="G87" s="78"/>
      <x:c r="H87" s="69"/>
      <x:c r="I87" s="69"/>
      <x:c r="J87" s="75" t="str">
        <x:f>IF(A87="","",IF(OR(B87="",C87="",D87="",E87="",F87="",G87="",H87=""),"Incomplete",IF(AND(H87&lt;&gt;"Closed",G87&lt;TODAY()),"Overdue",IF(H87="Closed",IF(I87="","Review required","Closed"),"Open"))))</x:f>
      </x:c>
    </x:row>
    <x:row r="88">
      <x:c r="A88" s="69"/>
      <x:c r="B88" s="69"/>
      <x:c r="C88" s="69"/>
      <x:c r="D88" s="69"/>
      <x:c r="E88" s="69"/>
      <x:c r="F88" s="69"/>
      <x:c r="G88" s="78"/>
      <x:c r="H88" s="69"/>
      <x:c r="I88" s="69"/>
      <x:c r="J88" s="75" t="str">
        <x:f>IF(A88="","",IF(OR(B88="",C88="",D88="",E88="",F88="",G88="",H88=""),"Incomplete",IF(AND(H88&lt;&gt;"Closed",G88&lt;TODAY()),"Overdue",IF(H88="Closed",IF(I88="","Review required","Closed"),"Open"))))</x:f>
      </x:c>
    </x:row>
    <x:row r="89">
      <x:c r="A89" s="69"/>
      <x:c r="B89" s="69"/>
      <x:c r="C89" s="69"/>
      <x:c r="D89" s="69"/>
      <x:c r="E89" s="69"/>
      <x:c r="F89" s="69"/>
      <x:c r="G89" s="78"/>
      <x:c r="H89" s="69"/>
      <x:c r="I89" s="69"/>
      <x:c r="J89" s="75" t="str">
        <x:f>IF(A89="","",IF(OR(B89="",C89="",D89="",E89="",F89="",G89="",H89=""),"Incomplete",IF(AND(H89&lt;&gt;"Closed",G89&lt;TODAY()),"Overdue",IF(H89="Closed",IF(I89="","Review required","Closed"),"Open"))))</x:f>
      </x:c>
    </x:row>
    <x:row r="90">
      <x:c r="A90" s="69"/>
      <x:c r="B90" s="69"/>
      <x:c r="C90" s="69"/>
      <x:c r="D90" s="69"/>
      <x:c r="E90" s="69"/>
      <x:c r="F90" s="69"/>
      <x:c r="G90" s="78"/>
      <x:c r="H90" s="69"/>
      <x:c r="I90" s="69"/>
      <x:c r="J90" s="75" t="str">
        <x:f>IF(A90="","",IF(OR(B90="",C90="",D90="",E90="",F90="",G90="",H90=""),"Incomplete",IF(AND(H90&lt;&gt;"Closed",G90&lt;TODAY()),"Overdue",IF(H90="Closed",IF(I90="","Review required","Closed"),"Open"))))</x:f>
      </x:c>
    </x:row>
    <x:row r="91">
      <x:c r="A91" s="69"/>
      <x:c r="B91" s="69"/>
      <x:c r="C91" s="69"/>
      <x:c r="D91" s="69"/>
      <x:c r="E91" s="69"/>
      <x:c r="F91" s="69"/>
      <x:c r="G91" s="78"/>
      <x:c r="H91" s="69"/>
      <x:c r="I91" s="69"/>
      <x:c r="J91" s="75" t="str">
        <x:f>IF(A91="","",IF(OR(B91="",C91="",D91="",E91="",F91="",G91="",H91=""),"Incomplete",IF(AND(H91&lt;&gt;"Closed",G91&lt;TODAY()),"Overdue",IF(H91="Closed",IF(I91="","Review required","Closed"),"Open"))))</x:f>
      </x:c>
    </x:row>
    <x:row r="92">
      <x:c r="A92" s="69"/>
      <x:c r="B92" s="69"/>
      <x:c r="C92" s="69"/>
      <x:c r="D92" s="69"/>
      <x:c r="E92" s="69"/>
      <x:c r="F92" s="69"/>
      <x:c r="G92" s="78"/>
      <x:c r="H92" s="69"/>
      <x:c r="I92" s="69"/>
      <x:c r="J92" s="75" t="str">
        <x:f>IF(A92="","",IF(OR(B92="",C92="",D92="",E92="",F92="",G92="",H92=""),"Incomplete",IF(AND(H92&lt;&gt;"Closed",G92&lt;TODAY()),"Overdue",IF(H92="Closed",IF(I92="","Review required","Closed"),"Open"))))</x:f>
      </x:c>
    </x:row>
    <x:row r="93">
      <x:c r="A93" s="69"/>
      <x:c r="B93" s="69"/>
      <x:c r="C93" s="69"/>
      <x:c r="D93" s="69"/>
      <x:c r="E93" s="69"/>
      <x:c r="F93" s="69"/>
      <x:c r="G93" s="78"/>
      <x:c r="H93" s="69"/>
      <x:c r="I93" s="69"/>
      <x:c r="J93" s="75" t="str">
        <x:f>IF(A93="","",IF(OR(B93="",C93="",D93="",E93="",F93="",G93="",H93=""),"Incomplete",IF(AND(H93&lt;&gt;"Closed",G93&lt;TODAY()),"Overdue",IF(H93="Closed",IF(I93="","Review required","Closed"),"Open"))))</x:f>
      </x:c>
    </x:row>
    <x:row r="94">
      <x:c r="A94" s="69"/>
      <x:c r="B94" s="69"/>
      <x:c r="C94" s="69"/>
      <x:c r="D94" s="69"/>
      <x:c r="E94" s="69"/>
      <x:c r="F94" s="69"/>
      <x:c r="G94" s="78"/>
      <x:c r="H94" s="69"/>
      <x:c r="I94" s="69"/>
      <x:c r="J94" s="75" t="str">
        <x:f>IF(A94="","",IF(OR(B94="",C94="",D94="",E94="",F94="",G94="",H94=""),"Incomplete",IF(AND(H94&lt;&gt;"Closed",G94&lt;TODAY()),"Overdue",IF(H94="Closed",IF(I94="","Review required","Closed"),"Open"))))</x:f>
      </x:c>
    </x:row>
    <x:row r="95">
      <x:c r="A95" s="69"/>
      <x:c r="B95" s="69"/>
      <x:c r="C95" s="69"/>
      <x:c r="D95" s="69"/>
      <x:c r="E95" s="69"/>
      <x:c r="F95" s="69"/>
      <x:c r="G95" s="78"/>
      <x:c r="H95" s="69"/>
      <x:c r="I95" s="69"/>
      <x:c r="J95" s="75" t="str">
        <x:f>IF(A95="","",IF(OR(B95="",C95="",D95="",E95="",F95="",G95="",H95=""),"Incomplete",IF(AND(H95&lt;&gt;"Closed",G95&lt;TODAY()),"Overdue",IF(H95="Closed",IF(I95="","Review required","Closed"),"Open"))))</x:f>
      </x:c>
    </x:row>
    <x:row r="96">
      <x:c r="A96" s="69"/>
      <x:c r="B96" s="69"/>
      <x:c r="C96" s="69"/>
      <x:c r="D96" s="69"/>
      <x:c r="E96" s="69"/>
      <x:c r="F96" s="69"/>
      <x:c r="G96" s="78"/>
      <x:c r="H96" s="69"/>
      <x:c r="I96" s="69"/>
      <x:c r="J96" s="75" t="str">
        <x:f>IF(A96="","",IF(OR(B96="",C96="",D96="",E96="",F96="",G96="",H96=""),"Incomplete",IF(AND(H96&lt;&gt;"Closed",G96&lt;TODAY()),"Overdue",IF(H96="Closed",IF(I96="","Review required","Closed"),"Open"))))</x:f>
      </x:c>
    </x:row>
    <x:row r="97">
      <x:c r="A97" s="69"/>
      <x:c r="B97" s="69"/>
      <x:c r="C97" s="69"/>
      <x:c r="D97" s="69"/>
      <x:c r="E97" s="69"/>
      <x:c r="F97" s="69"/>
      <x:c r="G97" s="78"/>
      <x:c r="H97" s="69"/>
      <x:c r="I97" s="69"/>
      <x:c r="J97" s="75" t="str">
        <x:f>IF(A97="","",IF(OR(B97="",C97="",D97="",E97="",F97="",G97="",H97=""),"Incomplete",IF(AND(H97&lt;&gt;"Closed",G97&lt;TODAY()),"Overdue",IF(H97="Closed",IF(I97="","Review required","Closed"),"Open"))))</x:f>
      </x:c>
    </x:row>
    <x:row r="98">
      <x:c r="A98" s="69"/>
      <x:c r="B98" s="69"/>
      <x:c r="C98" s="69"/>
      <x:c r="D98" s="69"/>
      <x:c r="E98" s="69"/>
      <x:c r="F98" s="69"/>
      <x:c r="G98" s="78"/>
      <x:c r="H98" s="69"/>
      <x:c r="I98" s="69"/>
      <x:c r="J98" s="75" t="str">
        <x:f>IF(A98="","",IF(OR(B98="",C98="",D98="",E98="",F98="",G98="",H98=""),"Incomplete",IF(AND(H98&lt;&gt;"Closed",G98&lt;TODAY()),"Overdue",IF(H98="Closed",IF(I98="","Review required","Closed"),"Open"))))</x:f>
      </x:c>
    </x:row>
    <x:row r="99">
      <x:c r="A99" s="69"/>
      <x:c r="B99" s="69"/>
      <x:c r="C99" s="69"/>
      <x:c r="D99" s="69"/>
      <x:c r="E99" s="69"/>
      <x:c r="F99" s="69"/>
      <x:c r="G99" s="78"/>
      <x:c r="H99" s="69"/>
      <x:c r="I99" s="69"/>
      <x:c r="J99" s="75" t="str">
        <x:f>IF(A99="","",IF(OR(B99="",C99="",D99="",E99="",F99="",G99="",H99=""),"Incomplete",IF(AND(H99&lt;&gt;"Closed",G99&lt;TODAY()),"Overdue",IF(H99="Closed",IF(I99="","Review required","Closed"),"Open"))))</x:f>
      </x:c>
    </x:row>
    <x:row r="100">
      <x:c r="A100" s="69"/>
      <x:c r="B100" s="69"/>
      <x:c r="C100" s="69"/>
      <x:c r="D100" s="69"/>
      <x:c r="E100" s="69"/>
      <x:c r="F100" s="69"/>
      <x:c r="G100" s="78"/>
      <x:c r="H100" s="69"/>
      <x:c r="I100" s="69"/>
      <x:c r="J100" s="75" t="str">
        <x:f>IF(A100="","",IF(OR(B100="",C100="",D100="",E100="",F100="",G100="",H100=""),"Incomplete",IF(AND(H100&lt;&gt;"Closed",G100&lt;TODAY()),"Overdue",IF(H100="Closed",IF(I100="","Review required","Closed"),"Open"))))</x:f>
      </x:c>
    </x:row>
    <x:row r="101">
      <x:c r="A101" s="69"/>
      <x:c r="B101" s="69"/>
      <x:c r="C101" s="69"/>
      <x:c r="D101" s="69"/>
      <x:c r="E101" s="69"/>
      <x:c r="F101" s="69"/>
      <x:c r="G101" s="78"/>
      <x:c r="H101" s="69"/>
      <x:c r="I101" s="69"/>
      <x:c r="J101" s="75" t="str">
        <x:f>IF(A101="","",IF(OR(B101="",C101="",D101="",E101="",F101="",G101="",H101=""),"Incomplete",IF(AND(H101&lt;&gt;"Closed",G101&lt;TODAY()),"Overdue",IF(H101="Closed",IF(I101="","Review required","Closed"),"Open"))))</x:f>
      </x:c>
    </x:row>
    <x:row r="102">
      <x:c r="A102" s="69"/>
      <x:c r="B102" s="69"/>
      <x:c r="C102" s="69"/>
      <x:c r="D102" s="69"/>
      <x:c r="E102" s="69"/>
      <x:c r="F102" s="69"/>
      <x:c r="G102" s="78"/>
      <x:c r="H102" s="69"/>
      <x:c r="I102" s="69"/>
      <x:c r="J102" s="75" t="str">
        <x:f>IF(A102="","",IF(OR(B102="",C102="",D102="",E102="",F102="",G102="",H102=""),"Incomplete",IF(AND(H102&lt;&gt;"Closed",G102&lt;TODAY()),"Overdue",IF(H102="Closed",IF(I102="","Review required","Closed"),"Open"))))</x:f>
      </x:c>
    </x:row>
    <x:row r="103">
      <x:c r="A103" s="69"/>
      <x:c r="B103" s="69"/>
      <x:c r="C103" s="69"/>
      <x:c r="D103" s="69"/>
      <x:c r="E103" s="69"/>
      <x:c r="F103" s="69"/>
      <x:c r="G103" s="78"/>
      <x:c r="H103" s="69"/>
      <x:c r="I103" s="69"/>
      <x:c r="J103" s="75" t="str">
        <x:f>IF(A103="","",IF(OR(B103="",C103="",D103="",E103="",F103="",G103="",H103=""),"Incomplete",IF(AND(H103&lt;&gt;"Closed",G103&lt;TODAY()),"Overdue",IF(H103="Closed",IF(I103="","Review required","Closed"),"Open"))))</x:f>
      </x:c>
    </x:row>
    <x:row r="104">
      <x:c r="A104" s="69"/>
      <x:c r="B104" s="69"/>
      <x:c r="C104" s="69"/>
      <x:c r="D104" s="69"/>
      <x:c r="E104" s="69"/>
      <x:c r="F104" s="69"/>
      <x:c r="G104" s="78"/>
      <x:c r="H104" s="69"/>
      <x:c r="I104" s="69"/>
      <x:c r="J104" s="75" t="str">
        <x:f>IF(A104="","",IF(OR(B104="",C104="",D104="",E104="",F104="",G104="",H104=""),"Incomplete",IF(AND(H104&lt;&gt;"Closed",G104&lt;TODAY()),"Overdue",IF(H104="Closed",IF(I104="","Review required","Closed"),"Open"))))</x:f>
      </x:c>
    </x:row>
    <x:row r="105">
      <x:c r="A105" s="70"/>
      <x:c r="B105" s="70"/>
      <x:c r="C105" s="70"/>
      <x:c r="D105" s="70"/>
      <x:c r="E105" s="70"/>
      <x:c r="F105" s="70"/>
      <x:c r="G105" s="79"/>
      <x:c r="H105" s="70"/>
      <x:c r="I105" s="70"/>
      <x:c r="J105" s="76" t="str">
        <x:f>IF(A105="","",IF(OR(B105="",C105="",D105="",E105="",F105="",G105="",H105=""),"Incomplete",IF(AND(H105&lt;&gt;"Closed",G105&lt;TODAY()),"Overdue",IF(H105="Closed",IF(I105="","Review required","Closed"),"Open"))))</x:f>
      </x:c>
    </x:row>
  </x:sheetData>
  <x:mergeCells>
    <x:mergeCell ref="A1:J1"/>
    <x:mergeCell ref="A2:J2"/>
  </x:mergeCells>
  <x:conditionalFormatting sqref="J6:J105">
    <x:cfRule type="containsText" dxfId="42" priority="1" operator="containsText" text="Incomplete"/>
    <x:cfRule type="containsText" dxfId="43" priority="2" operator="containsText" text="Evidence required"/>
    <x:cfRule type="containsText" dxfId="44" priority="3" operator="containsText" text="Review required"/>
    <x:cfRule type="containsText" dxfId="45" priority="4" operator="containsText" text="Open"/>
    <x:cfRule type="containsText" dxfId="46" priority="5" operator="containsText" text="Overdue"/>
    <x:cfRule type="containsText" dxfId="47" priority="6" operator="containsText" text="Ready"/>
    <x:cfRule type="containsText" dxfId="48" priority="7" operator="containsText" text="Closed"/>
  </x:conditionalFormatting>
  <x:dataValidations count="3">
    <x:dataValidation type="list" sqref="D6:D105">
      <x:formula1>"Evidence request,Study,Review,Control change,Monitoring,Comparability,Validation,Escalation,Decision"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2" hidden="0" customWidth="1"/>
    <x:col min="4" max="4" width="28" hidden="0" customWidth="1"/>
    <x:col min="5" max="5" width="58" hidden="0" customWidth="1"/>
    <x:col min="6" max="6" width="38" hidden="0" customWidth="1"/>
    <x:col min="7" max="7" width="42" hidden="0" customWidth="1"/>
    <x:col min="8" max="8" width="28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limitations, review roles, viral-claim boundary, and document control</x:v>
      </x:c>
      <x:c r="B2" s="7"/>
      <x:c r="C2" s="7"/>
      <x:c r="D2" s="7"/>
      <x:c r="E2" s="7"/>
      <x:c r="F2" s="7"/>
      <x:c r="G2" s="7"/>
      <x:c r="H2" s="7"/>
    </x:row>
    <x:row r="4">
      <x:c r="A4" s="26" t="str">
        <x:v>Package version</x:v>
      </x:c>
      <x:c r="B4" s="89" t="str">
        <x:v>1.0.0-review</x:v>
      </x:c>
      <x:c r="C4" s="90"/>
      <x:c r="D4" s="90"/>
      <x:c r="E4" s="90"/>
      <x:c r="F4" s="90"/>
      <x:c r="G4" s="90"/>
      <x:c r="H4" s="91"/>
    </x:row>
    <x:row r="5">
      <x:c r="A5" s="26" t="str">
        <x:v>Review status</x:v>
      </x:c>
      <x:c r="B5" s="92" t="str">
        <x:v>Under review</x:v>
      </x:c>
      <x:c r="C5" s="93"/>
      <x:c r="D5" s="93"/>
      <x:c r="E5" s="93"/>
      <x:c r="F5" s="93"/>
      <x:c r="G5" s="93"/>
      <x:c r="H5" s="94"/>
    </x:row>
    <x:row r="6">
      <x:c r="A6" s="26" t="str">
        <x:v>Applicability and limitations</x:v>
      </x:c>
      <x:c r="B6" s="92" t="str">
        <x:v>Cell-culture-derived, well-characterized proteins/polypeptides within the cited source scope; other modalities and product-specific decisions require separate evidence.</x:v>
      </x:c>
      <x:c r="C6" s="93"/>
      <x:c r="D6" s="93"/>
      <x:c r="E6" s="93"/>
      <x:c r="F6" s="93"/>
      <x:c r="G6" s="93"/>
      <x:c r="H6" s="94"/>
    </x:row>
    <x:row r="7">
      <x:c r="A7" s="26" t="str">
        <x:v>Reviewed by role</x:v>
      </x:c>
      <x:c r="B7" s="92" t="str">
        <x:v>Pending: downstream process development/MSAT, analytical/product quality, viral safety/virology, quality/validation/change control, and regulatory CMC.</x:v>
      </x:c>
      <x:c r="C7" s="93"/>
      <x:c r="D7" s="93"/>
      <x:c r="E7" s="93"/>
      <x:c r="F7" s="93"/>
      <x:c r="G7" s="93"/>
      <x:c r="H7" s="94"/>
    </x:row>
    <x:row r="8">
      <x:c r="A8" s="26" t="str">
        <x:v>Controlled-use boundary</x:v>
      </x:c>
      <x:c r="B8" s="92" t="str">
        <x:v>This workbook is not a controlled site record, viral-clearance protocol, validation report, regulatory filing, or batch-disposition system.</x:v>
      </x:c>
      <x:c r="C8" s="93"/>
      <x:c r="D8" s="93"/>
      <x:c r="E8" s="93"/>
      <x:c r="F8" s="93"/>
      <x:c r="G8" s="93"/>
      <x:c r="H8" s="94"/>
    </x:row>
    <x:row r="9">
      <x:c r="A9" s="26" t="str">
        <x:v>Numeric claim policy</x:v>
      </x:c>
      <x:c r="B9" s="92" t="str">
        <x:v>No generic operating range, resin/membrane lifetime, impurity limit, or clearance factor is supplied. Record only a controlled product/site reference or Evidence required.</x:v>
      </x:c>
      <x:c r="C9" s="93"/>
      <x:c r="D9" s="93"/>
      <x:c r="E9" s="93"/>
      <x:c r="F9" s="93"/>
      <x:c r="G9" s="93"/>
      <x:c r="H9" s="94"/>
    </x:row>
    <x:row r="10">
      <x:c r="A10" s="26" t="str">
        <x:v>Viral-safety boundary</x:v>
      </x:c>
      <x:c r="B10" s="95" t="str">
        <x:v>Viral inactivation/removal requires a controlled strategy, representative model, applicable study evidence, limitations, and qualified virology review; this workbook does not calculate a reduction factor.</x:v>
      </x:c>
      <x:c r="C10" s="96"/>
      <x:c r="D10" s="96"/>
      <x:c r="E10" s="96"/>
      <x:c r="F10" s="96"/>
      <x:c r="G10" s="96"/>
      <x:c r="H10" s="97"/>
    </x:row>
    <x:row r="12" ht="34" customHeight="1">
      <x:c r="A12" s="55" t="str">
        <x:v>Source ID</x:v>
      </x:c>
      <x:c r="B12" s="56" t="str">
        <x:v>Publisher</x:v>
      </x:c>
      <x:c r="C12" s="56" t="str">
        <x:v>Title</x:v>
      </x:c>
      <x:c r="D12" s="56" t="str">
        <x:v>Edition</x:v>
      </x:c>
      <x:c r="E12" s="56" t="str">
        <x:v>URL</x:v>
      </x:c>
      <x:c r="F12" s="56" t="str">
        <x:v>Decision use</x:v>
      </x:c>
      <x:c r="G12" s="56" t="str">
        <x:v>Licensing / scope boundary</x:v>
      </x:c>
      <x:c r="H12" s="57" t="str">
        <x:v>Lifecycle status</x:v>
      </x:c>
    </x:row>
    <x:row r="13">
      <x:c r="A13" s="98" t="str">
        <x:v>ICH-Q8-R2</x:v>
      </x:c>
      <x:c r="B13" s="98" t="str">
        <x:v>International Council for Harmonisation</x:v>
      </x:c>
      <x:c r="C13" s="98" t="str">
        <x:v>Pharmaceutical Development Q8(R2)</x:v>
      </x:c>
      <x:c r="D13" s="98" t="str">
        <x:v>Step 4 final guideline</x:v>
      </x:c>
      <x:c r="E13" s="98" t="str">
        <x:v>https://database.ich.org/sites/default/files/Q8%28R2%29%20Guideline.pdf</x:v>
      </x:c>
      <x:c r="F13" s="98" t="str">
        <x:v>Product-process understanding and control-strategy development</x:v>
      </x:c>
      <x:c r="G13" s="98" t="str">
        <x:v>Does not supply product-specific unit operations, claims, or ranges</x:v>
      </x:c>
      <x:c r="H13" s="98" t="str">
        <x:v>Current; verify regional implementation</x:v>
      </x:c>
    </x:row>
    <x:row r="14">
      <x:c r="A14" s="99" t="str">
        <x:v>ICH-Q11</x:v>
      </x:c>
      <x:c r="B14" s="99" t="str">
        <x:v>International Council for Harmonisation</x:v>
      </x:c>
      <x:c r="C14" s="99" t="str">
        <x:v>Development and Manufacture of Drug Substances Q11</x:v>
      </x:c>
      <x:c r="D14" s="99" t="str">
        <x:v>Step 4 final guideline</x:v>
      </x:c>
      <x:c r="E14" s="99" t="str">
        <x:v>https://database.ich.org/sites/default/files/Q11_Guideline.pdf</x:v>
      </x:c>
      <x:c r="F14" s="99" t="str">
        <x:v>Biotechnology drug-substance process development and impurity progression</x:v>
      </x:c>
      <x:c r="G14" s="99" t="str">
        <x:v>Retain product, process, starting-point, and regional scope</x:v>
      </x:c>
      <x:c r="H14" s="99" t="str">
        <x:v>Current; verify regional implementation</x:v>
      </x:c>
    </x:row>
    <x:row r="15">
      <x:c r="A15" s="99" t="str">
        <x:v>ICH-Q5A-R2</x:v>
      </x:c>
      <x:c r="B15" s="99" t="str">
        <x:v>International Council for Harmonisation</x:v>
      </x:c>
      <x:c r="C15" s="99" t="str">
        <x:v>Viral Safety Evaluation Q5A(R2)</x:v>
      </x:c>
      <x:c r="D15" s="99" t="str">
        <x:v>Step 4 final guideline, 2023-11-01</x:v>
      </x:c>
      <x:c r="E15" s="99" t="str">
        <x:v>https://database.ich.org/sites/default/files/ICH_Q5A%28R2%29_Guideline_2023_1101.pdf</x:v>
      </x:c>
      <x:c r="F15" s="99" t="str">
        <x:v>Viral-safety strategy, scale-down models, step-wise clearance, robustness, prior knowledge, and lifecycle review</x:v>
      </x:c>
      <x:c r="G15" s="99" t="str">
        <x:v>Do not transfer viral-clearance claims without applicable controlled evidence</x:v>
      </x:c>
      <x:c r="H15" s="99" t="str">
        <x:v>Current; verify regional implementation</x:v>
      </x:c>
    </x:row>
    <x:row r="16">
      <x:c r="A16" s="99" t="str">
        <x:v>ICH-Q5E</x:v>
      </x:c>
      <x:c r="B16" s="99" t="str">
        <x:v>International Council for Harmonisation</x:v>
      </x:c>
      <x:c r="C16" s="99" t="str">
        <x:v>Comparability of Biotechnological/Biological Products Q5E</x:v>
      </x:c>
      <x:c r="D16" s="99" t="str">
        <x:v>Step 4 final guideline</x:v>
      </x:c>
      <x:c r="E16" s="99" t="str">
        <x:v>https://database.ich.org/sites/default/files/Q5E_Guideline.pdf</x:v>
      </x:c>
      <x:c r="F16" s="99" t="str">
        <x:v>Manufacturing-change and comparability evidence questions</x:v>
      </x:c>
      <x:c r="G16" s="99" t="str">
        <x:v>Release conformance alone does not establish comparability</x:v>
      </x:c>
      <x:c r="H16" s="99" t="str">
        <x:v>Current; verify regional implementation</x:v>
      </x:c>
    </x:row>
    <x:row r="17">
      <x:c r="A17" s="99" t="str">
        <x:v>ICH-Q6B</x:v>
      </x:c>
      <x:c r="B17" s="99" t="str">
        <x:v>International Council for Harmonisation</x:v>
      </x:c>
      <x:c r="C17" s="99" t="str">
        <x:v>Specifications for Biotechnological/Biological Products Q6B</x:v>
      </x:c>
      <x:c r="D17" s="99" t="str">
        <x:v>Step 4 final guideline; revision activity monitored</x:v>
      </x:c>
      <x:c r="E17" s="99" t="str">
        <x:v>https://database.ich.org/sites/default/files/Q6B_Guideline.pdf</x:v>
      </x:c>
      <x:c r="F17" s="99" t="str">
        <x:v>Characterization, product- and process-related impurities, and specification context</x:v>
      </x:c>
      <x:c r="G17" s="99" t="str">
        <x:v>Specifications are one part of the total control strategy</x:v>
      </x:c>
      <x:c r="H17" s="99" t="str">
        <x:v>Current; revision activity exists</x:v>
      </x:c>
    </x:row>
    <x:row r="18">
      <x:c r="A18" s="99" t="str">
        <x:v>ICH-Q9-R1</x:v>
      </x:c>
      <x:c r="B18" s="99" t="str">
        <x:v>International Council for Harmonisation</x:v>
      </x:c>
      <x:c r="C18" s="99" t="str">
        <x:v>Quality Risk Management Q9(R1)</x:v>
      </x:c>
      <x:c r="D18" s="99" t="str">
        <x:v>Step 4 final guideline</x:v>
      </x:c>
      <x:c r="E18" s="99" t="str">
        <x:v>https://database.ich.org/sites/default/files/ICH_Q9-R1_Guideline_Step4_2022_1219.pdf</x:v>
      </x:c>
      <x:c r="F18" s="99" t="str">
        <x:v>Risk-based decision quality</x:v>
      </x:c>
      <x:c r="G18" s="99" t="str">
        <x:v>Risk tools do not manufacture evidence or approve claims</x:v>
      </x:c>
      <x:c r="H18" s="99" t="str">
        <x:v>Current</x:v>
      </x:c>
    </x:row>
    <x:row r="19">
      <x:c r="A19" s="99" t="str">
        <x:v>ICH-Q10</x:v>
      </x:c>
      <x:c r="B19" s="99" t="str">
        <x:v>International Council for Harmonisation</x:v>
      </x:c>
      <x:c r="C19" s="99" t="str">
        <x:v>Pharmaceutical Quality System Q10</x:v>
      </x:c>
      <x:c r="D19" s="99" t="str">
        <x:v>Step 4 final guideline</x:v>
      </x:c>
      <x:c r="E19" s="99" t="str">
        <x:v>https://database.ich.org/sites/default/files/Q10_Guideline.pdf</x:v>
      </x:c>
      <x:c r="F19" s="99" t="str">
        <x:v>Knowledge management, change, and lifecycle governance</x:v>
      </x:c>
      <x:c r="G19" s="99" t="str">
        <x:v>Does not supply product-specific controls</x:v>
      </x:c>
      <x:c r="H19" s="99" t="str">
        <x:v>Current</x:v>
      </x:c>
    </x:row>
    <x:row r="20">
      <x:c r="A20" s="100" t="str">
        <x:v>FDA-PROCESS-VALIDATION-2011</x:v>
      </x:c>
      <x:c r="B20" s="100" t="str">
        <x:v>U.S. Food and Drug Administration</x:v>
      </x:c>
      <x:c r="C20" s="100" t="str">
        <x:v>Process Validation: General Principles and Practices</x:v>
      </x:c>
      <x:c r="D20" s="100" t="str">
        <x:v>Final guidance, January 2011</x:v>
      </x:c>
      <x:c r="E20" s="100" t="str">
        <x:v>https://www.fda.gov/regulatory-information/search-fda-guidance-documents/process-validation-general-principles-and-practices</x:v>
      </x:c>
      <x:c r="F20" s="100" t="str">
        <x:v>Lifecycle process design, qualification, and continued verification</x:v>
      </x:c>
      <x:c r="G20" s="100" t="str">
        <x:v>Nonbinding US guidance; confirm product and regional applicability</x:v>
      </x:c>
      <x:c r="H20" s="100" t="str">
        <x:v>Current official FDA page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5" hidden="0" customWidth="1"/>
    <x:col min="4" max="4" width="28" hidden="0" customWidth="1"/>
    <x:col min="5" max="5" width="26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55" t="str">
        <x:v>Target Classes</x:v>
      </x:c>
      <x:c r="B4" s="56" t="str">
        <x:v>Claim Families</x:v>
      </x:c>
      <x:c r="C4" s="56" t="str">
        <x:v>Evidence Strengths</x:v>
      </x:c>
      <x:c r="D4" s="56" t="str">
        <x:v>Evidence Types</x:v>
      </x:c>
      <x:c r="E4" s="56" t="str">
        <x:v>Control Placements</x:v>
      </x:c>
      <x:c r="F4" s="56" t="str">
        <x:v>Review Statuses</x:v>
      </x:c>
      <x:c r="G4" s="56" t="str">
        <x:v>Action Types</x:v>
      </x:c>
      <x:c r="H4" s="56" t="str">
        <x:v>Priorities</x:v>
      </x:c>
      <x:c r="I4" s="56" t="str">
        <x:v>Action Statuses</x:v>
      </x:c>
      <x:c r="J4" s="57" t="str">
        <x:v>Step Types</x:v>
      </x:c>
    </x:row>
    <x:row r="5">
      <x:c r="A5" s="98" t="str">
        <x:v>Intended product</x:v>
      </x:c>
      <x:c r="B5" s="98" t="str">
        <x:v>Process-related impurity clearance</x:v>
      </x:c>
      <x:c r="C5" s="98" t="str">
        <x:v>Hypothesis</x:v>
      </x:c>
      <x:c r="D5" s="98" t="str">
        <x:v>Official guidance</x:v>
      </x:c>
      <x:c r="E5" s="98" t="str">
        <x:v>Upstream prevention</x:v>
      </x:c>
      <x:c r="F5" s="98" t="str">
        <x:v>Not started</x:v>
      </x:c>
      <x:c r="G5" s="98" t="str">
        <x:v>Evidence request</x:v>
      </x:c>
      <x:c r="H5" s="98" t="str">
        <x:v>Critical</x:v>
      </x:c>
      <x:c r="I5" s="98" t="str">
        <x:v>Not started</x:v>
      </x:c>
      <x:c r="J5" s="98" t="str">
        <x:v>Clarification / separation</x:v>
      </x:c>
    </x:row>
    <x:row r="6">
      <x:c r="A6" s="99" t="str">
        <x:v>Product-related variant</x:v>
      </x:c>
      <x:c r="B6" s="99" t="str">
        <x:v>Product-related variant control</x:v>
      </x:c>
      <x:c r="C6" s="99" t="str">
        <x:v>Observed association</x:v>
      </x:c>
      <x:c r="D6" s="99" t="str">
        <x:v>Controlled study</x:v>
      </x:c>
      <x:c r="E6" s="99" t="str">
        <x:v>Load control</x:v>
      </x:c>
      <x:c r="F6" s="99" t="str">
        <x:v>Draft</x:v>
      </x:c>
      <x:c r="G6" s="99" t="str">
        <x:v>Study</x:v>
      </x:c>
      <x:c r="H6" s="99" t="str">
        <x:v>High</x:v>
      </x:c>
      <x:c r="I6" s="99" t="str">
        <x:v>In progress</x:v>
      </x:c>
      <x:c r="J6" s="99" t="str">
        <x:v>Affinity capture</x:v>
      </x:c>
    </x:row>
    <x:row r="7">
      <x:c r="A7" s="99" t="str">
        <x:v>Process-related impurity</x:v>
      </x:c>
      <x:c r="B7" s="99" t="str">
        <x:v>Viral inactivation</x:v>
      </x:c>
      <x:c r="C7" s="99" t="str">
        <x:v>Designed-study support</x:v>
      </x:c>
      <x:c r="D7" s="99" t="str">
        <x:v>Manufacturing data</x:v>
      </x:c>
      <x:c r="E7" s="99" t="str">
        <x:v>Unit-operation control</x:v>
      </x:c>
      <x:c r="F7" s="99" t="str">
        <x:v>In review</x:v>
      </x:c>
      <x:c r="G7" s="99" t="str">
        <x:v>Review</x:v>
      </x:c>
      <x:c r="H7" s="99" t="str">
        <x:v>Medium</x:v>
      </x:c>
      <x:c r="I7" s="99" t="str">
        <x:v>Blocked</x:v>
      </x:c>
      <x:c r="J7" s="99" t="str">
        <x:v>Chromatography</x:v>
      </x:c>
    </x:row>
    <x:row r="8">
      <x:c r="A8" s="99" t="str">
        <x:v>Downstream-derived impurity</x:v>
      </x:c>
      <x:c r="B8" s="99" t="str">
        <x:v>Viral removal</x:v>
      </x:c>
      <x:c r="C8" s="99" t="str">
        <x:v>Multi-source support</x:v>
      </x:c>
      <x:c r="D8" s="99" t="str">
        <x:v>Analytical study</x:v>
      </x:c>
      <x:c r="E8" s="99" t="str">
        <x:v>In-process monitoring</x:v>
      </x:c>
      <x:c r="F8" s="99" t="str">
        <x:v>Reviewed</x:v>
      </x:c>
      <x:c r="G8" s="99" t="str">
        <x:v>Control change</x:v>
      </x:c>
      <x:c r="H8" s="99" t="str">
        <x:v>Low</x:v>
      </x:c>
      <x:c r="I8" s="99" t="str">
        <x:v>Closed</x:v>
      </x:c>
      <x:c r="J8" s="99" t="str">
        <x:v>Inactivation</x:v>
      </x:c>
    </x:row>
    <x:row r="9">
      <x:c r="A9" s="99" t="str">
        <x:v>Contaminant</x:v>
      </x:c>
      <x:c r="B9" s="99" t="str">
        <x:v>Recovery / process performance</x:v>
      </x:c>
      <x:c r="C9" s="99" t="str">
        <x:v>Contradictory or unresolved</x:v>
      </x:c>
      <x:c r="D9" s="99" t="str">
        <x:v>Viral-clearance study</x:v>
      </x:c>
      <x:c r="E9" s="99" t="str">
        <x:v>Characterization</x:v>
      </x:c>
      <x:c r="F9" s="99"/>
      <x:c r="G9" s="99" t="str">
        <x:v>Monitoring</x:v>
      </x:c>
      <x:c r="H9" s="99"/>
      <x:c r="I9" s="99" t="str">
        <x:v>Deferred</x:v>
      </x:c>
      <x:c r="J9" s="99" t="str">
        <x:v>Virus filtration</x:v>
      </x:c>
    </x:row>
    <x:row r="10">
      <x:c r="A10" s="99" t="str">
        <x:v>Viral-safety target</x:v>
      </x:c>
      <x:c r="B10" s="99" t="str">
        <x:v>Lifecycle / reuse control</x:v>
      </x:c>
      <x:c r="C10" s="99"/>
      <x:c r="D10" s="99" t="str">
        <x:v>Material / supplier evidence</x:v>
      </x:c>
      <x:c r="E10" s="99" t="str">
        <x:v>Release</x:v>
      </x:c>
      <x:c r="F10" s="99"/>
      <x:c r="G10" s="99" t="str">
        <x:v>Comparability</x:v>
      </x:c>
      <x:c r="H10" s="99"/>
      <x:c r="I10" s="99"/>
      <x:c r="J10" s="99" t="str">
        <x:v>Concentration / buffer exchange</x:v>
      </x:c>
    </x:row>
    <x:row r="11">
      <x:c r="A11" s="99" t="str">
        <x:v>Recovery / performance</x:v>
      </x:c>
      <x:c r="B11" s="99" t="str">
        <x:v>Other</x:v>
      </x:c>
      <x:c r="C11" s="99"/>
      <x:c r="D11" s="99" t="str">
        <x:v>Deviation / change record</x:v>
      </x:c>
      <x:c r="E11" s="99" t="str">
        <x:v>Stability</x:v>
      </x:c>
      <x:c r="F11" s="99"/>
      <x:c r="G11" s="99" t="str">
        <x:v>Validation</x:v>
      </x:c>
      <x:c r="H11" s="99"/>
      <x:c r="I11" s="99"/>
      <x:c r="J11" s="99" t="str">
        <x:v>Hold / storage</x:v>
      </x:c>
    </x:row>
    <x:row r="12">
      <x:c r="A12" s="99" t="str">
        <x:v>Other</x:v>
      </x:c>
      <x:c r="B12" s="99"/>
      <x:c r="C12" s="99"/>
      <x:c r="D12" s="99" t="str">
        <x:v>Platform knowledge</x:v>
      </x:c>
      <x:c r="E12" s="99" t="str">
        <x:v>Viral-safety strategy</x:v>
      </x:c>
      <x:c r="F12" s="99"/>
      <x:c r="G12" s="99" t="str">
        <x:v>Escalation</x:v>
      </x:c>
      <x:c r="H12" s="99"/>
      <x:c r="I12" s="99"/>
      <x:c r="J12" s="99" t="str">
        <x:v>Other</x:v>
      </x:c>
    </x:row>
    <x:row r="13">
      <x:c r="A13" s="99"/>
      <x:c r="B13" s="99"/>
      <x:c r="C13" s="99"/>
      <x:c r="D13" s="99" t="str">
        <x:v>Other</x:v>
      </x:c>
      <x:c r="E13" s="99" t="str">
        <x:v>Continued verification</x:v>
      </x:c>
      <x:c r="F13" s="99"/>
      <x:c r="G13" s="99" t="str">
        <x:v>Decision</x:v>
      </x:c>
      <x:c r="H13" s="99"/>
      <x:c r="I13" s="99"/>
      <x:c r="J13" s="99"/>
    </x:row>
    <x:row r="14">
      <x:c r="A14" s="99"/>
      <x:c r="B14" s="99"/>
      <x:c r="C14" s="99"/>
      <x:c r="D14" s="99"/>
      <x:c r="E14" s="99" t="str">
        <x:v>Evidence required</x:v>
      </x:c>
      <x:c r="F14" s="99"/>
      <x:c r="G14" s="99"/>
      <x:c r="H14" s="99"/>
      <x:c r="I14" s="99"/>
      <x:c r="J14" s="99"/>
    </x:row>
    <x:row r="15">
      <x:c r="A15" s="100"/>
      <x:c r="B15" s="100"/>
      <x:c r="C15" s="100"/>
      <x:c r="D15" s="100"/>
      <x:c r="E15" s="100" t="str">
        <x:v>Combination</x:v>
      </x:c>
      <x:c r="F15" s="100"/>
      <x:c r="G15" s="100"/>
      <x:c r="H15" s="100"/>
      <x:c r="I15" s="100"/>
      <x:c r="J15" s="100"/>
    </x:row>
  </x:sheetData>
  <x:mergeCells>
    <x:mergeCell ref="A1:J1"/>
    <x:mergeCell ref="A2:J2"/>
  </x:mergeCells>
  <x:pageMargins left="0.7" right="0.7" top="0.75" bottom="0.75" header="0.3" footer="0.3"/>
</x:worksheet>
</file>