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d88e5610d4e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0b77896542e649e0"/>
    <x:sheet xmlns:r="http://schemas.openxmlformats.org/officeDocument/2006/relationships" name="Decision Brief" sheetId="2" r:id="R9429c33aa3764778"/>
    <x:sheet xmlns:r="http://schemas.openxmlformats.org/officeDocument/2006/relationships" name="Route &amp; Inputs" sheetId="3" r:id="R890a5cb4e6234493"/>
    <x:sheet xmlns:r="http://schemas.openxmlformats.org/officeDocument/2006/relationships" name="Unit Operations" sheetId="4" r:id="R50cc7403e8b14d76"/>
    <x:sheet xmlns:r="http://schemas.openxmlformats.org/officeDocument/2006/relationships" name="Impurity Map" sheetId="5" r:id="R494e61f62b7d4ca3"/>
    <x:sheet xmlns:r="http://schemas.openxmlformats.org/officeDocument/2006/relationships" name="Observed Fate" sheetId="6" r:id="R0aa24a164a2940ab"/>
    <x:sheet xmlns:r="http://schemas.openxmlformats.org/officeDocument/2006/relationships" name="Analytical Evidence" sheetId="7" r:id="Rc7c594a082554d9a"/>
    <x:sheet xmlns:r="http://schemas.openxmlformats.org/officeDocument/2006/relationships" name="Control Strategy" sheetId="8" r:id="Rd8129fcc14614615"/>
    <x:sheet xmlns:r="http://schemas.openxmlformats.org/officeDocument/2006/relationships" name="Change Assessment" sheetId="9" r:id="R336925f4d9e6498e"/>
    <x:sheet xmlns:r="http://schemas.openxmlformats.org/officeDocument/2006/relationships" name="Evidence Register" sheetId="10" r:id="R0f40781965574e3c"/>
    <x:sheet xmlns:r="http://schemas.openxmlformats.org/officeDocument/2006/relationships" name="Review &amp; Actions" sheetId="11" r:id="R4afca37b274b4726"/>
    <x:sheet xmlns:r="http://schemas.openxmlformats.org/officeDocument/2006/relationships" name="Sources &amp; Control" sheetId="12" r:id="Ref37e901328249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033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  <x:font>
      <x:b/>
      <x:sz val="11"/>
      <x:color rgb="FF172033"/>
      <x:name val="Carlito"/>
    </x:font>
    <x:font>
      <x:b/>
      <x:sz val="9"/>
      <x:color rgb="FF17203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  <x:fill>
      <x:patternFill patternType="solid">
        <x:fgColor rgb="FFE8F4FF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  <x:fill>
      <x:patternFill patternType="solid">
        <x:fgColor rgb="FFFFF7D6"/>
      </x:patternFill>
    </x:fill>
  </x:fills>
  <x:borders count="7">
    <x:border/>
    <x:border>
      <x:right style="thin">
        <x:color rgb="FF99B8B4"/>
      </x:right>
    </x:border>
    <x:border>
      <x:left style="thin">
        <x:color rgb="FF99B8B4"/>
      </x:left>
      <x:right style="thin">
        <x:color rgb="FF99B8B4"/>
      </x:right>
    </x:border>
    <x:border>
      <x:left style="thin">
        <x:color rgb="FF99B8B4"/>
      </x:left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vertical="top" wrapText="1"/>
    </x:xf>
    <x:xf numFmtId="0" fontId="6" fillId="3" borderId="4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4" fillId="8" borderId="4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vertical="top" wrapText="1"/>
    </x:xf>
    <x:xf numFmtId="200" fontId="4" fillId="8" borderId="4" xfId="0" applyNumberFormat="1" applyFont="1" applyFill="1" applyBorder="1" applyAlignment="1">
      <x:alignment vertical="top" wrapText="1"/>
    </x:xf>
    <x:xf numFmtId="200" fontId="4" fillId="8" borderId="5" xfId="0" applyNumberFormat="1" applyFont="1" applyFill="1" applyBorder="1" applyAlignment="1">
      <x:alignment vertical="top" wrapText="1"/>
    </x:xf>
    <x:xf numFmtId="200" fontId="4" fillId="8" borderId="6" xfId="0" applyNumberFormat="1" applyFont="1" applyFill="1" applyBorder="1" applyAlignment="1">
      <x:alignment vertical="top" wrapText="1"/>
    </x:xf>
    <x:xf numFmtId="201" fontId="4" fillId="8" borderId="4" xfId="0" applyNumberFormat="1" applyFont="1" applyFill="1" applyBorder="1" applyAlignment="1">
      <x:alignment vertical="top" wrapText="1"/>
    </x:xf>
    <x:xf numFmtId="201" fontId="4" fillId="8" borderId="5" xfId="0" applyNumberFormat="1" applyFont="1" applyFill="1" applyBorder="1" applyAlignment="1">
      <x:alignment vertical="top" wrapText="1"/>
    </x:xf>
    <x:xf numFmtId="201" fontId="4" fillId="8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41fdce235458a" /><Relationship Type="http://schemas.openxmlformats.org/officeDocument/2006/relationships/theme" Target="/xl/theme/theme1.xml" Id="R3eb0e2117fd74f5e" /><Relationship Type="http://schemas.openxmlformats.org/officeDocument/2006/relationships/sharedStrings" Target="/xl/sharedStrings.xml" Id="R0f81689c105b494e" /><Relationship Type="http://schemas.openxmlformats.org/officeDocument/2006/relationships/worksheet" Target="/xl/worksheets/sheet1.xml" Id="R0b77896542e649e0" /><Relationship Type="http://schemas.openxmlformats.org/officeDocument/2006/relationships/worksheet" Target="/xl/worksheets/sheet2.xml" Id="R9429c33aa3764778" /><Relationship Type="http://schemas.openxmlformats.org/officeDocument/2006/relationships/worksheet" Target="/xl/worksheets/sheet3.xml" Id="R890a5cb4e6234493" /><Relationship Type="http://schemas.openxmlformats.org/officeDocument/2006/relationships/worksheet" Target="/xl/worksheets/sheet4.xml" Id="R50cc7403e8b14d76" /><Relationship Type="http://schemas.openxmlformats.org/officeDocument/2006/relationships/worksheet" Target="/xl/worksheets/sheet5.xml" Id="R494e61f62b7d4ca3" /><Relationship Type="http://schemas.openxmlformats.org/officeDocument/2006/relationships/worksheet" Target="/xl/worksheets/sheet6.xml" Id="R0aa24a164a2940ab" /><Relationship Type="http://schemas.openxmlformats.org/officeDocument/2006/relationships/worksheet" Target="/xl/worksheets/sheet7.xml" Id="Rc7c594a082554d9a" /><Relationship Type="http://schemas.openxmlformats.org/officeDocument/2006/relationships/worksheet" Target="/xl/worksheets/sheet8.xml" Id="Rd8129fcc14614615" /><Relationship Type="http://schemas.openxmlformats.org/officeDocument/2006/relationships/worksheet" Target="/xl/worksheets/sheet9.xml" Id="R336925f4d9e6498e" /><Relationship Type="http://schemas.openxmlformats.org/officeDocument/2006/relationships/worksheet" Target="/xl/worksheets/sheet10.xml" Id="R0f40781965574e3c" /><Relationship Type="http://schemas.openxmlformats.org/officeDocument/2006/relationships/worksheet" Target="/xl/worksheets/sheet11.xml" Id="R4afca37b274b4726" /><Relationship Type="http://schemas.openxmlformats.org/officeDocument/2006/relationships/worksheet" Target="/xl/worksheets/sheet12.xml" Id="Ref37e901328249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Pharma API Process &amp; Impurity Control Evidence Map</x:v>
      </x:c>
    </x:row>
    <x:row r="2" ht="32" customHeight="1">
      <x:c r="A2" s="7" t="str">
        <x:v>Educational evidence structure. No chemistry, operating condition, impurity limit, purge claim, specification or approval is supplied.</x:v>
      </x:c>
    </x:row>
    <x:row r="4" ht="38" customHeight="1">
      <x:c r="A4" s="16" t="str">
        <x:v>Control</x:v>
      </x:c>
      <x:c r="B4" s="17" t="str">
        <x:v>Live result</x:v>
      </x:c>
      <x:c r="C4" s="17" t="str">
        <x:v>Interpretation</x:v>
      </x:c>
      <x:c r="D4" s="18" t="str">
        <x:v>Required action</x:v>
      </x:c>
    </x:row>
    <x:row r="5" ht="36" customHeight="1">
      <x:c r="A5" s="26" t="str">
        <x:v>Verified evidence rows</x:v>
      </x:c>
      <x:c r="B5" s="29" t="n">
        <x:f>COUNTIF('Evidence Register'!$H$5:$H$14,"Verified")</x:f>
        <x:v>0</x:v>
      </x:c>
      <x:c r="C5" s="26" t="str">
        <x:v>Count only indexed, checked records</x:v>
      </x:c>
      <x:c r="D5" s="26" t="str">
        <x:v>Verify applicability and version</x:v>
      </x:c>
    </x:row>
    <x:row r="6" ht="36" customHeight="1">
      <x:c r="A6" s="27" t="str">
        <x:v>Open actions</x:v>
      </x:c>
      <x:c r="B6" s="30" t="n">
        <x:f>COUNTIF('Review &amp; Actions'!$I$5:$I$14,"Open")</x:f>
        <x:v>1</x:v>
      </x:c>
      <x:c r="C6" s="27" t="str">
        <x:v>Open work prevents closure</x:v>
      </x:c>
      <x:c r="D6" s="27" t="str">
        <x:v>Assign evidence, owner and due date</x:v>
      </x:c>
    </x:row>
    <x:row r="7" ht="36" customHeight="1">
      <x:c r="A7" s="27" t="str">
        <x:v>Fate rows needing evidence</x:v>
      </x:c>
      <x:c r="B7" s="30" t="n">
        <x:f>COUNTIF('Observed Fate'!$M$5:$M$14,"Evidence required")</x:f>
        <x:v>1</x:v>
      </x:c>
      <x:c r="C7" s="27" t="str">
        <x:v>A ratio is never a transferable purge factor</x:v>
      </x:c>
      <x:c r="D7" s="27" t="str">
        <x:v>Resolve basis, sampling and method capability</x:v>
      </x:c>
    </x:row>
    <x:row r="8" ht="36" customHeight="1">
      <x:c r="A8" s="28" t="str">
        <x:v>Global workbook state</x:v>
      </x:c>
      <x:c r="B8" s="31" t="str">
        <x:f>IF(OR(B5=0,B6&gt;0,B7&gt;0),"Evidence required","Qualified review required")</x:f>
        <x:v>Evidence required</x:v>
      </x:c>
      <x:c r="C8" s="28" t="str">
        <x:v>Never equals process or product approval</x:v>
      </x:c>
      <x:c r="D8" s="28" t="str">
        <x:v>Route through qualified review</x:v>
      </x:c>
    </x:row>
    <x:row r="10" ht="42" customHeight="1">
      <x:c r="A10" s="34" t="str">
        <x:v>Sequence: Decision Brief → Route &amp; Inputs → Unit Operations → Impurity Map → Observed Fate → Analytical Evidence → Control Strategy → Change Assessment → Evidence → Review</x:v>
      </x:c>
    </x:row>
    <x:row r="12" ht="36" customHeight="1">
      <x:c r="A12" s="36" t="str">
        <x:v>Required role</x:v>
      </x:c>
      <x:c r="B12" s="36" t="str">
        <x:v>Process chemistry</x:v>
      </x:c>
      <x:c r="C12" s="36" t="str">
        <x:v>Process engineering / MSAT</x:v>
      </x:c>
      <x:c r="D12" s="36" t="str">
        <x:v>Analytical development</x:v>
      </x:c>
      <x:c r="E12" s="36" t="str">
        <x:v>Impurity safety / toxicology</x:v>
      </x:c>
      <x:c r="F12" s="36" t="str">
        <x:v>API QC</x:v>
      </x:c>
      <x:c r="G12" s="36" t="str">
        <x:v>Quality / validation</x:v>
      </x:c>
      <x:c r="H12" s="36" t="str">
        <x:v>Regulatory CMC</x:v>
      </x:c>
    </x:row>
    <x:row r="13" ht="36" customHeight="1">
      <x:c r="A13" s="27" t="str">
        <x:v>Review state</x:v>
      </x:c>
      <x:c r="B13" s="27" t="str">
        <x:v>Not recorded</x:v>
      </x:c>
      <x:c r="C13" s="27" t="str">
        <x:v>Not recorded</x:v>
      </x:c>
      <x:c r="D13" s="27" t="str">
        <x:v>Not recorded</x:v>
      </x:c>
      <x:c r="E13" s="27" t="str">
        <x:v>Not recorded</x:v>
      </x:c>
      <x:c r="F13" s="27" t="str">
        <x:v>Not recorded</x:v>
      </x:c>
      <x:c r="G13" s="27" t="str">
        <x:v>Not recorded</x:v>
      </x:c>
      <x:c r="H13" s="27" t="str">
        <x:v>Not recorded</x:v>
      </x:c>
    </x:row>
    <x:row r="14" ht="36" customHeight="1">
      <x:c r="A14" s="27" t="str">
        <x:v>Rule</x:v>
      </x:c>
      <x:c r="B14" s="27" t="str">
        <x:v>No route or conditions</x:v>
      </x:c>
      <x:c r="C14" s="27" t="str">
        <x:v>No generic scale bridge</x:v>
      </x:c>
      <x:c r="D14" s="27" t="str">
        <x:v>No unqualified non-detect</x:v>
      </x:c>
      <x:c r="E14" s="27" t="str">
        <x:v>No safety conclusion</x:v>
      </x:c>
      <x:c r="F14" s="27" t="str">
        <x:v>No method/batch decision</x:v>
      </x:c>
      <x:c r="G14" s="27" t="str">
        <x:v>No validation approval</x:v>
      </x:c>
      <x:c r="H14" s="27" t="str">
        <x:v>No filing conclusion</x:v>
      </x:c>
    </x:row>
    <x:row r="15" ht="36" customHeight="1">
      <x:c r="A15" s="27" t="str">
        <x:v>Data boundary</x:v>
      </x:c>
      <x:c r="B15" s="27" t="str">
        <x:v>Use controlled systems for confidential chemistry and batch data</x:v>
      </x:c>
      <x:c r="C15" s="27" t="str"/>
      <x:c r="D15" s="27" t="str"/>
      <x:c r="E15" s="27" t="str"/>
      <x:c r="F15" s="27" t="str"/>
      <x:c r="G15" s="27" t="str"/>
      <x:c r="H15" s="27" t="str"/>
    </x:row>
    <x:row r="16" ht="36" customHeight="1">
      <x:c r="A16" s="28" t="str">
        <x:v>Version</x:v>
      </x:c>
      <x:c r="B16" s="28" t="str">
        <x:v>1.0.0-review</x:v>
      </x:c>
      <x:c r="C16" s="28" t="str"/>
      <x:c r="D16" s="28" t="str"/>
      <x:c r="E16" s="28" t="str"/>
      <x:c r="F16" s="28" t="str"/>
      <x:c r="G16" s="28" t="str"/>
      <x:c r="H16" s="28" t="str"/>
    </x:row>
  </x:sheetData>
  <x:mergeCells>
    <x:mergeCell ref="A1:H1"/>
    <x:mergeCell ref="A2:H2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16" hidden="0" customWidth="1"/>
    <x:col min="4" max="4" width="24" hidden="0" customWidth="1"/>
    <x:col min="5" max="5" width="24" hidden="0" customWidth="1"/>
  </x:cols>
  <x:sheetData>
    <x:row r="1" ht="30" customHeight="1">
      <x:c r="A1" s="3" t="str">
        <x:v>Decision Brief</x:v>
      </x:c>
    </x:row>
    <x:row r="2" ht="32" customHeight="1">
      <x:c r="A2" s="7" t="str">
        <x:v>Freeze one product, route/process version and decision. Separate structure completeness from authorization.</x:v>
      </x:c>
    </x:row>
    <x:row r="4" ht="38" customHeight="1">
      <x:c r="A4" s="16" t="str">
        <x:v>Field</x:v>
      </x:c>
      <x:c r="B4" s="17" t="str">
        <x:v>Value</x:v>
      </x:c>
      <x:c r="C4" s="17" t="str">
        <x:v>Evidence ID</x:v>
      </x:c>
      <x:c r="D4" s="17" t="str">
        <x:v>Owner</x:v>
      </x:c>
      <x:c r="E4" s="18" t="str">
        <x:v>State</x:v>
      </x:c>
    </x:row>
    <x:row r="5" ht="36" customHeight="1">
      <x:c r="A5" s="37" t="str">
        <x:v>Drug substance / form</x:v>
      </x:c>
      <x:c r="B5" s="40" t="str"/>
      <x:c r="C5" s="40" t="str">
        <x:v>E-001</x:v>
      </x:c>
      <x:c r="D5" s="40" t="str"/>
      <x:c r="E5" s="40" t="str">
        <x:v>Evidence required</x:v>
      </x:c>
    </x:row>
    <x:row r="6" ht="36" customHeight="1">
      <x:c r="A6" s="38" t="str">
        <x:v>Route / process version</x:v>
      </x:c>
      <x:c r="B6" s="41" t="str"/>
      <x:c r="C6" s="41" t="str">
        <x:v>E-002</x:v>
      </x:c>
      <x:c r="D6" s="41" t="str"/>
      <x:c r="E6" s="41" t="str">
        <x:v>Evidence required</x:v>
      </x:c>
    </x:row>
    <x:row r="7" ht="36" customHeight="1">
      <x:c r="A7" s="38" t="str">
        <x:v>Decision statement</x:v>
      </x:c>
      <x:c r="B7" s="41" t="str"/>
      <x:c r="C7" s="41" t="str"/>
      <x:c r="D7" s="41" t="str"/>
      <x:c r="E7" s="41" t="str">
        <x:v>Evidence required</x:v>
      </x:c>
    </x:row>
    <x:row r="8" ht="36" customHeight="1">
      <x:c r="A8" s="38" t="str"/>
      <x:c r="B8" s="41" t="str"/>
      <x:c r="C8" s="41" t="str"/>
      <x:c r="D8" s="41" t="str"/>
      <x:c r="E8" s="41" t="str"/>
    </x:row>
    <x:row r="9" ht="36" customHeight="1">
      <x:c r="A9" s="38" t="str"/>
      <x:c r="B9" s="41" t="str"/>
      <x:c r="C9" s="41" t="str"/>
      <x:c r="D9" s="41" t="str"/>
      <x:c r="E9" s="41" t="str"/>
    </x:row>
    <x:row r="10" ht="36" customHeight="1">
      <x:c r="A10" s="38" t="str"/>
      <x:c r="B10" s="41" t="str"/>
      <x:c r="C10" s="41" t="str"/>
      <x:c r="D10" s="41" t="str"/>
      <x:c r="E10" s="41" t="str"/>
    </x:row>
    <x:row r="11" ht="36" customHeight="1">
      <x:c r="A11" s="38" t="str"/>
      <x:c r="B11" s="41" t="str"/>
      <x:c r="C11" s="41" t="str"/>
      <x:c r="D11" s="41" t="str"/>
      <x:c r="E11" s="41" t="str"/>
    </x:row>
    <x:row r="12" ht="36" customHeight="1">
      <x:c r="A12" s="38" t="str"/>
      <x:c r="B12" s="41" t="str"/>
      <x:c r="C12" s="41" t="str"/>
      <x:c r="D12" s="41" t="str"/>
      <x:c r="E12" s="41" t="str"/>
    </x:row>
    <x:row r="13" ht="36" customHeight="1">
      <x:c r="A13" s="38" t="str"/>
      <x:c r="B13" s="41" t="str"/>
      <x:c r="C13" s="41" t="str"/>
      <x:c r="D13" s="41" t="str"/>
      <x:c r="E13" s="41" t="str"/>
    </x:row>
    <x:row r="14" ht="36" customHeight="1">
      <x:c r="A14" s="39" t="str"/>
      <x:c r="B14" s="42" t="str"/>
      <x:c r="C14" s="42" t="str"/>
      <x:c r="D14" s="42" t="str"/>
      <x:c r="E14" s="42" t="str"/>
    </x:row>
  </x:sheetData>
  <x:mergeCells>
    <x:mergeCell ref="A1:E1"/>
    <x:mergeCell ref="A2:E2"/>
  </x:mergeCells>
  <x:dataValidations count="1">
    <x:dataValidation type="list" sqref="E5:E14">
      <x:formula1>"Evidence required,Qualified review required,Not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8" hidden="0" customWidth="1"/>
    <x:col min="5" max="5" width="24" hidden="0" customWidth="1"/>
    <x:col min="6" max="6" width="30" hidden="0" customWidth="1"/>
    <x:col min="7" max="7" width="26" hidden="0" customWidth="1"/>
    <x:col min="8" max="8" width="30" hidden="0" customWidth="1"/>
    <x:col min="9" max="9" width="16" hidden="0" customWidth="1"/>
    <x:col min="10" max="10" width="24" hidden="0" customWidth="1"/>
  </x:cols>
  <x:sheetData>
    <x:row r="1" ht="30" customHeight="1">
      <x:c r="A1" s="3" t="str">
        <x:v>Route &amp; Inputs</x:v>
      </x:c>
    </x:row>
    <x:row r="2" ht="32" customHeight="1">
      <x:c r="A2" s="7" t="str">
        <x:v>Record exact use, supplier/process version and change sensitivity. Do not infer starting-material acceptability.</x:v>
      </x:c>
    </x:row>
    <x:row r="4" ht="38" customHeight="1">
      <x:c r="A4" s="16" t="str">
        <x:v>Input ID</x:v>
      </x:c>
      <x:c r="B4" s="17" t="str">
        <x:v>Material / input</x:v>
      </x:c>
      <x:c r="C4" s="17" t="str">
        <x:v>Type</x:v>
      </x:c>
      <x:c r="D4" s="17" t="str">
        <x:v>Entry stage</x:v>
      </x:c>
      <x:c r="E4" s="17" t="str">
        <x:v>Supplier / version</x:v>
      </x:c>
      <x:c r="F4" s="17" t="str">
        <x:v>Material attributes / risks</x:v>
      </x:c>
      <x:c r="G4" s="17" t="str">
        <x:v>Current control</x:v>
      </x:c>
      <x:c r="H4" s="17" t="str">
        <x:v>Change / gap</x:v>
      </x:c>
      <x:c r="I4" s="17" t="str">
        <x:v>Evidence ID</x:v>
      </x:c>
      <x:c r="J4" s="18" t="str">
        <x:v>State</x:v>
      </x:c>
    </x:row>
    <x:row r="5" ht="36" customHeight="1">
      <x:c r="A5" s="37" t="str">
        <x:v>INP-001</x:v>
      </x:c>
      <x:c r="B5" s="40" t="str"/>
      <x:c r="C5" s="40" t="str"/>
      <x:c r="D5" s="40" t="str"/>
      <x:c r="E5" s="40" t="str"/>
      <x:c r="F5" s="40" t="str"/>
      <x:c r="G5" s="40" t="str"/>
      <x:c r="H5" s="40" t="str"/>
      <x:c r="I5" s="40" t="str"/>
      <x:c r="J5" s="40" t="str">
        <x:v>Evidence required</x:v>
      </x:c>
    </x:row>
    <x:row r="6" ht="36" customHeight="1">
      <x:c r="A6" s="38" t="str"/>
      <x:c r="B6" s="41" t="str"/>
      <x:c r="C6" s="41" t="str"/>
      <x:c r="D6" s="41" t="str"/>
      <x:c r="E6" s="41" t="str"/>
      <x:c r="F6" s="41" t="str"/>
      <x:c r="G6" s="41" t="str"/>
      <x:c r="H6" s="41" t="str"/>
      <x:c r="I6" s="41" t="str"/>
      <x:c r="J6" s="41" t="str"/>
    </x:row>
    <x:row r="7" ht="36" customHeight="1">
      <x:c r="A7" s="38" t="str"/>
      <x:c r="B7" s="41" t="str"/>
      <x:c r="C7" s="41" t="str"/>
      <x:c r="D7" s="41" t="str"/>
      <x:c r="E7" s="41" t="str"/>
      <x:c r="F7" s="41" t="str"/>
      <x:c r="G7" s="41" t="str"/>
      <x:c r="H7" s="41" t="str"/>
      <x:c r="I7" s="41" t="str"/>
      <x:c r="J7" s="41" t="str"/>
    </x:row>
    <x:row r="8" ht="36" customHeight="1">
      <x:c r="A8" s="38" t="str"/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</x:row>
    <x:row r="9" ht="36" customHeight="1">
      <x:c r="A9" s="38" t="str"/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</x:row>
    <x:row r="10" ht="36" customHeight="1">
      <x:c r="A10" s="38" t="str"/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</x:row>
    <x:row r="11" ht="36" customHeight="1">
      <x:c r="A11" s="38" t="str"/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</x:row>
    <x:row r="12" ht="36" customHeight="1">
      <x:c r="A12" s="38" t="str"/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</x:row>
    <x:row r="13" ht="36" customHeight="1">
      <x:c r="A13" s="38" t="str"/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</x:row>
    <x:row r="14" ht="36" customHeight="1">
      <x:c r="A14" s="39" t="str"/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/>
    </x:row>
  </x:sheetData>
  <x:mergeCells>
    <x:mergeCell ref="A1:J1"/>
    <x:mergeCell ref="A2:J2"/>
  </x:mergeCells>
  <x:dataValidations count="2">
    <x:dataValidation type="list" sqref="C5:C14">
      <x:formula1>"Starting material,Intermediate,Reagent,Solvent,Catalyst,Processing aid,Recovered material,Water,Other"</x:formula1>
    </x:dataValidation>
    <x:dataValidation type="list" sqref="J5:J14">
      <x:formula1>"Evidence required,Qualified review required,Not applicable"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0" hidden="0" customWidth="1"/>
    <x:col min="4" max="4" width="26" hidden="0" customWidth="1"/>
    <x:col min="5" max="5" width="26" hidden="0" customWidth="1"/>
    <x:col min="6" max="6" width="25" hidden="0" customWidth="1"/>
    <x:col min="7" max="7" width="24" hidden="0" customWidth="1"/>
    <x:col min="8" max="8" width="28" hidden="0" customWidth="1"/>
    <x:col min="9" max="9" width="24" hidden="0" customWidth="1"/>
    <x:col min="10" max="10" width="24" hidden="0" customWidth="1"/>
  </x:cols>
  <x:sheetData>
    <x:row r="1" ht="30" customHeight="1">
      <x:c r="A1" s="3" t="str">
        <x:v>Unit Operations</x:v>
      </x:c>
    </x:row>
    <x:row r="2" ht="32" customHeight="1">
      <x:c r="A2" s="7" t="str">
        <x:v>Map purpose, quality relationship, evidence scope and scale limitations; equipment names alone are not process evidence.</x:v>
      </x:c>
    </x:row>
    <x:row r="4" ht="38" customHeight="1">
      <x:c r="A4" s="16" t="str">
        <x:v>Operation ID</x:v>
      </x:c>
      <x:c r="B4" s="17" t="str">
        <x:v>Operation</x:v>
      </x:c>
      <x:c r="C4" s="17" t="str">
        <x:v>Type</x:v>
      </x:c>
      <x:c r="D4" s="17" t="str">
        <x:v>Purpose</x:v>
      </x:c>
      <x:c r="E4" s="17" t="str">
        <x:v>Attribute / impurity link</x:v>
      </x:c>
      <x:c r="F4" s="17" t="str">
        <x:v>Evidence basis</x:v>
      </x:c>
      <x:c r="G4" s="17" t="str">
        <x:v>Studied scope</x:v>
      </x:c>
      <x:c r="H4" s="17" t="str">
        <x:v>Gap / trigger</x:v>
      </x:c>
      <x:c r="I4" s="17" t="str">
        <x:v>Reviewer</x:v>
      </x:c>
      <x:c r="J4" s="18" t="str">
        <x:v>State</x:v>
      </x:c>
    </x:row>
    <x:row r="5" ht="36" customHeight="1">
      <x:c r="A5" s="37" t="str">
        <x:v>UO-001</x:v>
      </x:c>
      <x:c r="B5" s="40" t="str"/>
      <x:c r="C5" s="40" t="str"/>
      <x:c r="D5" s="40" t="str"/>
      <x:c r="E5" s="40" t="str"/>
      <x:c r="F5" s="40" t="str"/>
      <x:c r="G5" s="40" t="str"/>
      <x:c r="H5" s="40" t="str"/>
      <x:c r="I5" s="40" t="str"/>
      <x:c r="J5" s="40" t="str">
        <x:v>Evidence required</x:v>
      </x:c>
    </x:row>
    <x:row r="6" ht="36" customHeight="1">
      <x:c r="A6" s="38" t="str"/>
      <x:c r="B6" s="41" t="str"/>
      <x:c r="C6" s="41" t="str"/>
      <x:c r="D6" s="41" t="str"/>
      <x:c r="E6" s="41" t="str"/>
      <x:c r="F6" s="41" t="str"/>
      <x:c r="G6" s="41" t="str"/>
      <x:c r="H6" s="41" t="str"/>
      <x:c r="I6" s="41" t="str"/>
      <x:c r="J6" s="41" t="str"/>
    </x:row>
    <x:row r="7" ht="36" customHeight="1">
      <x:c r="A7" s="38" t="str"/>
      <x:c r="B7" s="41" t="str"/>
      <x:c r="C7" s="41" t="str"/>
      <x:c r="D7" s="41" t="str"/>
      <x:c r="E7" s="41" t="str"/>
      <x:c r="F7" s="41" t="str"/>
      <x:c r="G7" s="41" t="str"/>
      <x:c r="H7" s="41" t="str"/>
      <x:c r="I7" s="41" t="str"/>
      <x:c r="J7" s="41" t="str"/>
    </x:row>
    <x:row r="8" ht="36" customHeight="1">
      <x:c r="A8" s="38" t="str"/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</x:row>
    <x:row r="9" ht="36" customHeight="1">
      <x:c r="A9" s="38" t="str"/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</x:row>
    <x:row r="10" ht="36" customHeight="1">
      <x:c r="A10" s="38" t="str"/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</x:row>
    <x:row r="11" ht="36" customHeight="1">
      <x:c r="A11" s="38" t="str"/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</x:row>
    <x:row r="12" ht="36" customHeight="1">
      <x:c r="A12" s="38" t="str"/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</x:row>
    <x:row r="13" ht="36" customHeight="1">
      <x:c r="A13" s="38" t="str"/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</x:row>
    <x:row r="14" ht="36" customHeight="1">
      <x:c r="A14" s="39" t="str"/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/>
    </x:row>
  </x:sheetData>
  <x:mergeCells>
    <x:mergeCell ref="A1:J1"/>
    <x:mergeCell ref="A2:J2"/>
  </x:mergeCells>
  <x:dataValidations count="2">
    <x:dataValidation type="list" sqref="C5:C14">
      <x:formula1>"Reaction,Quench,Extraction,Wash,Phase separation,Concentration,Solvent exchange,Crystallization,Filtration,Drying,Milling,Blend,Hold,Packaging,Other"</x:formula1>
    </x:dataValidation>
    <x:dataValidation type="list" sqref="J5:J14">
      <x:formula1>"Evidence required,Qualified review required,Not applicable"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18" hidden="0" customWidth="1"/>
    <x:col min="5" max="5" width="30" hidden="0" customWidth="1"/>
    <x:col min="6" max="6" width="22" hidden="0" customWidth="1"/>
    <x:col min="7" max="7" width="34" hidden="0" customWidth="1"/>
    <x:col min="8" max="8" width="20" hidden="0" customWidth="1"/>
    <x:col min="9" max="9" width="16" hidden="0" customWidth="1"/>
    <x:col min="10" max="10" width="16" hidden="0" customWidth="1"/>
    <x:col min="11" max="11" width="24" hidden="0" customWidth="1"/>
  </x:cols>
  <x:sheetData>
    <x:row r="1" ht="30" customHeight="1">
      <x:c r="A1" s="3" t="str">
        <x:v>Impurity Map</x:v>
      </x:c>
    </x:row>
    <x:row r="2" ht="32" customHeight="1">
      <x:c r="A2" s="7" t="str">
        <x:v>Keep predicted, observed and confirmed identity separate. Safety and specification decisions remain outside this sheet.</x:v>
      </x:c>
    </x:row>
    <x:row r="4" ht="38" customHeight="1">
      <x:c r="A4" s="16" t="str">
        <x:v>Impurity ID</x:v>
      </x:c>
      <x:c r="B4" s="17" t="str">
        <x:v>Name / label</x:v>
      </x:c>
      <x:c r="C4" s="17" t="str">
        <x:v>Class</x:v>
      </x:c>
      <x:c r="D4" s="17" t="str">
        <x:v>Identity state</x:v>
      </x:c>
      <x:c r="E4" s="17" t="str">
        <x:v>Origin / pathway</x:v>
      </x:c>
      <x:c r="F4" s="17" t="str">
        <x:v>First relevant stage</x:v>
      </x:c>
      <x:c r="G4" s="17" t="str">
        <x:v>Evidence / competing hypothesis</x:v>
      </x:c>
      <x:c r="H4" s="17" t="str">
        <x:v>Analytical evidence ID</x:v>
      </x:c>
      <x:c r="I4" s="17" t="str">
        <x:v>Evidence ID</x:v>
      </x:c>
      <x:c r="J4" s="17" t="str">
        <x:v>Risk focus</x:v>
      </x:c>
      <x:c r="K4" s="18" t="str">
        <x:v>State</x:v>
      </x:c>
    </x:row>
    <x:row r="5" ht="36" customHeight="1">
      <x:c r="A5" s="37" t="str">
        <x:v>IMP-001</x:v>
      </x:c>
      <x:c r="B5" s="40" t="str"/>
      <x:c r="C5" s="40" t="str"/>
      <x:c r="D5" s="40" t="str">
        <x:v>Predicted</x:v>
      </x:c>
      <x:c r="E5" s="40" t="str"/>
      <x:c r="F5" s="40" t="str"/>
      <x:c r="G5" s="40" t="str"/>
      <x:c r="H5" s="40" t="str"/>
      <x:c r="I5" s="40" t="str"/>
      <x:c r="J5" s="40" t="str"/>
      <x:c r="K5" s="40" t="str">
        <x:v>Evidence required</x:v>
      </x:c>
    </x:row>
    <x:row r="6" ht="36" customHeight="1">
      <x:c r="A6" s="38" t="str"/>
      <x:c r="B6" s="41" t="str"/>
      <x:c r="C6" s="41" t="str"/>
      <x:c r="D6" s="41" t="str"/>
      <x:c r="E6" s="41" t="str"/>
      <x:c r="F6" s="41" t="str"/>
      <x:c r="G6" s="41" t="str"/>
      <x:c r="H6" s="41" t="str"/>
      <x:c r="I6" s="41" t="str"/>
      <x:c r="J6" s="41" t="str"/>
      <x:c r="K6" s="41" t="str"/>
    </x:row>
    <x:row r="7" ht="36" customHeight="1">
      <x:c r="A7" s="38" t="str"/>
      <x:c r="B7" s="41" t="str"/>
      <x:c r="C7" s="41" t="str"/>
      <x:c r="D7" s="41" t="str"/>
      <x:c r="E7" s="41" t="str"/>
      <x:c r="F7" s="41" t="str"/>
      <x:c r="G7" s="41" t="str"/>
      <x:c r="H7" s="41" t="str"/>
      <x:c r="I7" s="41" t="str"/>
      <x:c r="J7" s="41" t="str"/>
      <x:c r="K7" s="41" t="str"/>
    </x:row>
    <x:row r="8" ht="36" customHeight="1">
      <x:c r="A8" s="38" t="str"/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  <x:c r="K8" s="41" t="str"/>
    </x:row>
    <x:row r="9" ht="36" customHeight="1">
      <x:c r="A9" s="38" t="str"/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  <x:c r="K9" s="41" t="str"/>
    </x:row>
    <x:row r="10" ht="36" customHeight="1">
      <x:c r="A10" s="38" t="str"/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  <x:c r="K10" s="41" t="str"/>
    </x:row>
    <x:row r="11" ht="36" customHeight="1">
      <x:c r="A11" s="38" t="str"/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  <x:c r="K11" s="41" t="str"/>
    </x:row>
    <x:row r="12" ht="36" customHeight="1">
      <x:c r="A12" s="38" t="str"/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  <x:c r="K12" s="41" t="str"/>
    </x:row>
    <x:row r="13" ht="36" customHeight="1">
      <x:c r="A13" s="38" t="str"/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  <x:c r="K13" s="41" t="str"/>
    </x:row>
    <x:row r="14" ht="36" customHeight="1">
      <x:c r="A14" s="39" t="str"/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/>
      <x:c r="K14" s="42" t="str"/>
    </x:row>
  </x:sheetData>
  <x:mergeCells>
    <x:mergeCell ref="A1:K1"/>
    <x:mergeCell ref="A2:K2"/>
  </x:mergeCells>
  <x:dataValidations count="4">
    <x:dataValidation type="list" sqref="C5:C14">
      <x:formula1>"Organic process impurity,Degradation product,Residual solvent,Elemental impurity,Potential mutagenic impurity,Inorganic impurity,Other"</x:formula1>
    </x:dataValidation>
    <x:dataValidation type="list" sqref="D5:D14">
      <x:formula1>"Predicted,Observed,Tentatively identified,Confirmed"</x:formula1>
    </x:dataValidation>
    <x:dataValidation type="list" sqref="J5:J14">
      <x:formula1>"Low,Medium,High"</x:formula1>
    </x:dataValidation>
    <x:dataValidation type="list" sqref="K5:K14">
      <x:formula1>"Evidence required,Qualified review required,Not applicable"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16" hidden="0" customWidth="1"/>
    <x:col min="11" max="11" width="24" hidden="0" customWidth="1"/>
    <x:col min="12" max="12" width="18" hidden="0" customWidth="1"/>
    <x:col min="13" max="13" width="24" hidden="0" customWidth="1"/>
  </x:cols>
  <x:sheetData>
    <x:row r="1" ht="30" customHeight="1">
      <x:c r="A1" s="3" t="str">
        <x:v>Observed Fate</x:v>
      </x:c>
    </x:row>
    <x:row r="2" ht="32" customHeight="1">
      <x:c r="A2" s="7" t="str">
        <x:v>Formula output is an observed ratio only. It requires comparable basis and method capability and never establishes transferable purge.</x:v>
      </x:c>
    </x:row>
    <x:row r="4" ht="38" customHeight="1">
      <x:c r="A4" s="16" t="str">
        <x:v>Fate ID</x:v>
      </x:c>
      <x:c r="B4" s="17" t="str">
        <x:v>Impurity ID</x:v>
      </x:c>
      <x:c r="C4" s="17" t="str">
        <x:v>From stage</x:v>
      </x:c>
      <x:c r="D4" s="17" t="str">
        <x:v>To stage</x:v>
      </x:c>
      <x:c r="E4" s="17" t="str">
        <x:v>Input observation</x:v>
      </x:c>
      <x:c r="F4" s="17" t="str">
        <x:v>Output observation</x:v>
      </x:c>
      <x:c r="G4" s="17" t="str">
        <x:v>Comparable basis?</x:v>
      </x:c>
      <x:c r="H4" s="17" t="str">
        <x:v>Method capable?</x:v>
      </x:c>
      <x:c r="I4" s="17" t="str">
        <x:v>Observed ratio — not purge</x:v>
      </x:c>
      <x:c r="J4" s="17" t="str">
        <x:v>Evidence ID</x:v>
      </x:c>
      <x:c r="K4" s="17" t="str">
        <x:v>Reviewer</x:v>
      </x:c>
      <x:c r="L4" s="17" t="str">
        <x:v>Review state</x:v>
      </x:c>
      <x:c r="M4" s="18" t="str">
        <x:v>Row state</x:v>
      </x:c>
    </x:row>
    <x:row r="5" ht="36" customHeight="1">
      <x:c r="A5" s="37" t="str">
        <x:v>FATE-001</x:v>
      </x:c>
      <x:c r="B5" s="40" t="str"/>
      <x:c r="C5" s="40" t="str"/>
      <x:c r="D5" s="40" t="str"/>
      <x:c r="E5" s="43" t="str"/>
      <x:c r="F5" s="43" t="str"/>
      <x:c r="G5" s="40" t="str">
        <x:v>No</x:v>
      </x:c>
      <x:c r="H5" s="40" t="str">
        <x:v>No</x:v>
      </x:c>
      <x:c r="I5" s="29" t="str">
        <x:f>IF(OR(A5="",E5="",F5="",G5&lt;&gt;"Yes",H5&lt;&gt;"Yes"),"Evidence required",IF(F5=0,"Review reporting boundary",E5/F5))</x:f>
        <x:v>Evidence required</x:v>
      </x:c>
      <x:c r="J5" s="40" t="str"/>
      <x:c r="K5" s="40" t="str"/>
      <x:c r="L5" s="40" t="str">
        <x:v>Open</x:v>
      </x:c>
      <x:c r="M5" s="29" t="str">
        <x:f>IF(A5="","",IF(OR(J5="",K5="",L5&lt;&gt;"Accepted"),"Evidence required","Qualified review required"))</x:f>
        <x:v>Evidence required</x:v>
      </x:c>
    </x:row>
    <x:row r="6" ht="36" customHeight="1">
      <x:c r="A6" s="38" t="str"/>
      <x:c r="B6" s="41" t="str"/>
      <x:c r="C6" s="41" t="str"/>
      <x:c r="D6" s="41" t="str"/>
      <x:c r="E6" s="44" t="str"/>
      <x:c r="F6" s="44" t="str"/>
      <x:c r="G6" s="41" t="str"/>
      <x:c r="H6" s="41" t="str"/>
      <x:c r="I6" s="30" t="str">
        <x:f>IF(OR(A6="",E6="",F6="",G6&lt;&gt;"Yes",H6&lt;&gt;"Yes"),"Evidence required",IF(F6=0,"Review reporting boundary",E6/F6))</x:f>
        <x:v>Evidence required</x:v>
      </x:c>
      <x:c r="J6" s="41" t="str"/>
      <x:c r="K6" s="41" t="str"/>
      <x:c r="L6" s="41" t="str"/>
      <x:c r="M6" s="30" t="str">
        <x:f>IF(A6="","",IF(OR(J6="",K6="",L6&lt;&gt;"Accepted"),"Evidence required","Qualified review required"))</x:f>
      </x:c>
    </x:row>
    <x:row r="7" ht="36" customHeight="1">
      <x:c r="A7" s="38" t="str"/>
      <x:c r="B7" s="41" t="str"/>
      <x:c r="C7" s="41" t="str"/>
      <x:c r="D7" s="41" t="str"/>
      <x:c r="E7" s="44" t="str"/>
      <x:c r="F7" s="44" t="str"/>
      <x:c r="G7" s="41" t="str"/>
      <x:c r="H7" s="41" t="str"/>
      <x:c r="I7" s="30" t="str">
        <x:f>IF(OR(A7="",E7="",F7="",G7&lt;&gt;"Yes",H7&lt;&gt;"Yes"),"Evidence required",IF(F7=0,"Review reporting boundary",E7/F7))</x:f>
        <x:v>Evidence required</x:v>
      </x:c>
      <x:c r="J7" s="41" t="str"/>
      <x:c r="K7" s="41" t="str"/>
      <x:c r="L7" s="41" t="str"/>
      <x:c r="M7" s="30" t="str">
        <x:f>IF(A7="","",IF(OR(J7="",K7="",L7&lt;&gt;"Accepted"),"Evidence required","Qualified review required"))</x:f>
      </x:c>
    </x:row>
    <x:row r="8" ht="36" customHeight="1">
      <x:c r="A8" s="38" t="str"/>
      <x:c r="B8" s="41" t="str"/>
      <x:c r="C8" s="41" t="str"/>
      <x:c r="D8" s="41" t="str"/>
      <x:c r="E8" s="44" t="str"/>
      <x:c r="F8" s="44" t="str"/>
      <x:c r="G8" s="41" t="str"/>
      <x:c r="H8" s="41" t="str"/>
      <x:c r="I8" s="30" t="str">
        <x:f>IF(OR(A8="",E8="",F8="",G8&lt;&gt;"Yes",H8&lt;&gt;"Yes"),"Evidence required",IF(F8=0,"Review reporting boundary",E8/F8))</x:f>
        <x:v>Evidence required</x:v>
      </x:c>
      <x:c r="J8" s="41" t="str"/>
      <x:c r="K8" s="41" t="str"/>
      <x:c r="L8" s="41" t="str"/>
      <x:c r="M8" s="30" t="str">
        <x:f>IF(A8="","",IF(OR(J8="",K8="",L8&lt;&gt;"Accepted"),"Evidence required","Qualified review required"))</x:f>
      </x:c>
    </x:row>
    <x:row r="9" ht="36" customHeight="1">
      <x:c r="A9" s="38" t="str"/>
      <x:c r="B9" s="41" t="str"/>
      <x:c r="C9" s="41" t="str"/>
      <x:c r="D9" s="41" t="str"/>
      <x:c r="E9" s="44" t="str"/>
      <x:c r="F9" s="44" t="str"/>
      <x:c r="G9" s="41" t="str"/>
      <x:c r="H9" s="41" t="str"/>
      <x:c r="I9" s="30" t="str">
        <x:f>IF(OR(A9="",E9="",F9="",G9&lt;&gt;"Yes",H9&lt;&gt;"Yes"),"Evidence required",IF(F9=0,"Review reporting boundary",E9/F9))</x:f>
        <x:v>Evidence required</x:v>
      </x:c>
      <x:c r="J9" s="41" t="str"/>
      <x:c r="K9" s="41" t="str"/>
      <x:c r="L9" s="41" t="str"/>
      <x:c r="M9" s="30" t="str">
        <x:f>IF(A9="","",IF(OR(J9="",K9="",L9&lt;&gt;"Accepted"),"Evidence required","Qualified review required"))</x:f>
      </x:c>
    </x:row>
    <x:row r="10" ht="36" customHeight="1">
      <x:c r="A10" s="38" t="str"/>
      <x:c r="B10" s="41" t="str"/>
      <x:c r="C10" s="41" t="str"/>
      <x:c r="D10" s="41" t="str"/>
      <x:c r="E10" s="44" t="str"/>
      <x:c r="F10" s="44" t="str"/>
      <x:c r="G10" s="41" t="str"/>
      <x:c r="H10" s="41" t="str"/>
      <x:c r="I10" s="30" t="str">
        <x:f>IF(OR(A10="",E10="",F10="",G10&lt;&gt;"Yes",H10&lt;&gt;"Yes"),"Evidence required",IF(F10=0,"Review reporting boundary",E10/F10))</x:f>
        <x:v>Evidence required</x:v>
      </x:c>
      <x:c r="J10" s="41" t="str"/>
      <x:c r="K10" s="41" t="str"/>
      <x:c r="L10" s="41" t="str"/>
      <x:c r="M10" s="30" t="str">
        <x:f>IF(A10="","",IF(OR(J10="",K10="",L10&lt;&gt;"Accepted"),"Evidence required","Qualified review required"))</x:f>
      </x:c>
    </x:row>
    <x:row r="11" ht="36" customHeight="1">
      <x:c r="A11" s="38" t="str"/>
      <x:c r="B11" s="41" t="str"/>
      <x:c r="C11" s="41" t="str"/>
      <x:c r="D11" s="41" t="str"/>
      <x:c r="E11" s="44" t="str"/>
      <x:c r="F11" s="44" t="str"/>
      <x:c r="G11" s="41" t="str"/>
      <x:c r="H11" s="41" t="str"/>
      <x:c r="I11" s="30" t="str">
        <x:f>IF(OR(A11="",E11="",F11="",G11&lt;&gt;"Yes",H11&lt;&gt;"Yes"),"Evidence required",IF(F11=0,"Review reporting boundary",E11/F11))</x:f>
        <x:v>Evidence required</x:v>
      </x:c>
      <x:c r="J11" s="41" t="str"/>
      <x:c r="K11" s="41" t="str"/>
      <x:c r="L11" s="41" t="str"/>
      <x:c r="M11" s="30" t="str">
        <x:f>IF(A11="","",IF(OR(J11="",K11="",L11&lt;&gt;"Accepted"),"Evidence required","Qualified review required"))</x:f>
      </x:c>
    </x:row>
    <x:row r="12" ht="36" customHeight="1">
      <x:c r="A12" s="38" t="str"/>
      <x:c r="B12" s="41" t="str"/>
      <x:c r="C12" s="41" t="str"/>
      <x:c r="D12" s="41" t="str"/>
      <x:c r="E12" s="44" t="str"/>
      <x:c r="F12" s="44" t="str"/>
      <x:c r="G12" s="41" t="str"/>
      <x:c r="H12" s="41" t="str"/>
      <x:c r="I12" s="30" t="str">
        <x:f>IF(OR(A12="",E12="",F12="",G12&lt;&gt;"Yes",H12&lt;&gt;"Yes"),"Evidence required",IF(F12=0,"Review reporting boundary",E12/F12))</x:f>
        <x:v>Evidence required</x:v>
      </x:c>
      <x:c r="J12" s="41" t="str"/>
      <x:c r="K12" s="41" t="str"/>
      <x:c r="L12" s="41" t="str"/>
      <x:c r="M12" s="30" t="str">
        <x:f>IF(A12="","",IF(OR(J12="",K12="",L12&lt;&gt;"Accepted"),"Evidence required","Qualified review required"))</x:f>
      </x:c>
    </x:row>
    <x:row r="13" ht="36" customHeight="1">
      <x:c r="A13" s="38" t="str"/>
      <x:c r="B13" s="41" t="str"/>
      <x:c r="C13" s="41" t="str"/>
      <x:c r="D13" s="41" t="str"/>
      <x:c r="E13" s="44" t="str"/>
      <x:c r="F13" s="44" t="str"/>
      <x:c r="G13" s="41" t="str"/>
      <x:c r="H13" s="41" t="str"/>
      <x:c r="I13" s="30" t="str">
        <x:f>IF(OR(A13="",E13="",F13="",G13&lt;&gt;"Yes",H13&lt;&gt;"Yes"),"Evidence required",IF(F13=0,"Review reporting boundary",E13/F13))</x:f>
        <x:v>Evidence required</x:v>
      </x:c>
      <x:c r="J13" s="41" t="str"/>
      <x:c r="K13" s="41" t="str"/>
      <x:c r="L13" s="41" t="str"/>
      <x:c r="M13" s="30" t="str">
        <x:f>IF(A13="","",IF(OR(J13="",K13="",L13&lt;&gt;"Accepted"),"Evidence required","Qualified review required"))</x:f>
      </x:c>
    </x:row>
    <x:row r="14" ht="36" customHeight="1">
      <x:c r="A14" s="39" t="str"/>
      <x:c r="B14" s="42" t="str"/>
      <x:c r="C14" s="42" t="str"/>
      <x:c r="D14" s="42" t="str"/>
      <x:c r="E14" s="45" t="str"/>
      <x:c r="F14" s="45" t="str"/>
      <x:c r="G14" s="42" t="str"/>
      <x:c r="H14" s="42" t="str"/>
      <x:c r="I14" s="31" t="str">
        <x:f>IF(OR(A14="",E14="",F14="",G14&lt;&gt;"Yes",H14&lt;&gt;"Yes"),"Evidence required",IF(F14=0,"Review reporting boundary",E14/F14))</x:f>
        <x:v>Evidence required</x:v>
      </x:c>
      <x:c r="J14" s="42" t="str"/>
      <x:c r="K14" s="42" t="str"/>
      <x:c r="L14" s="42" t="str"/>
      <x:c r="M14" s="31" t="str">
        <x:f>IF(A14="","",IF(OR(J14="",K14="",L14&lt;&gt;"Accepted"),"Evidence required","Qualified review required"))</x:f>
      </x:c>
    </x:row>
  </x:sheetData>
  <x:mergeCells>
    <x:mergeCell ref="A1:M1"/>
    <x:mergeCell ref="A2:M2"/>
  </x:mergeCells>
  <x:dataValidations count="3">
    <x:dataValidation type="list" sqref="G5:G14">
      <x:formula1>"Yes,No"</x:formula1>
    </x:dataValidation>
    <x:dataValidation type="list" sqref="H5:H14">
      <x:formula1>"Yes,No"</x:formula1>
    </x:dataValidation>
    <x:dataValidation type="list" sqref="L5:L14">
      <x:formula1>"Open,Accepted,Rejected,Not applicable"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4" hidden="0" customWidth="1"/>
    <x:col min="5" max="5" width="25" hidden="0" customWidth="1"/>
    <x:col min="6" max="6" width="28" hidden="0" customWidth="1"/>
    <x:col min="7" max="7" width="34" hidden="0" customWidth="1"/>
    <x:col min="8" max="8" width="22" hidden="0" customWidth="1"/>
    <x:col min="9" max="9" width="16" hidden="0" customWidth="1"/>
    <x:col min="10" max="10" width="24" hidden="0" customWidth="1"/>
    <x:col min="11" max="11" width="24" hidden="0" customWidth="1"/>
  </x:cols>
  <x:sheetData>
    <x:row r="1" ht="30" customHeight="1">
      <x:c r="A1" s="3" t="str">
        <x:v>Analytical Evidence</x:v>
      </x:c>
    </x:row>
    <x:row r="2" ht="32" customHeight="1">
      <x:c r="A2" s="7" t="str">
        <x:v>Record intended use and capability in the exact matrix and range. A non-detect cannot outrun the method.</x:v>
      </x:c>
    </x:row>
    <x:row r="4" ht="38" customHeight="1">
      <x:c r="A4" s="16" t="str">
        <x:v>Analytical ID</x:v>
      </x:c>
      <x:c r="B4" s="17" t="str">
        <x:v>Procedure / version</x:v>
      </x:c>
      <x:c r="C4" s="17" t="str">
        <x:v>Intended use</x:v>
      </x:c>
      <x:c r="D4" s="17" t="str">
        <x:v>Matrix / stage</x:v>
      </x:c>
      <x:c r="E4" s="17" t="str">
        <x:v>Reference / response basis</x:v>
      </x:c>
      <x:c r="F4" s="17" t="str">
        <x:v>Capability evidence</x:v>
      </x:c>
      <x:c r="G4" s="17" t="str">
        <x:v>Limitation</x:v>
      </x:c>
      <x:c r="H4" s="17" t="str">
        <x:v>Lifecycle state</x:v>
      </x:c>
      <x:c r="I4" s="17" t="str">
        <x:v>Evidence ID</x:v>
      </x:c>
      <x:c r="J4" s="17" t="str">
        <x:v>Reviewer</x:v>
      </x:c>
      <x:c r="K4" s="18" t="str">
        <x:v>State</x:v>
      </x:c>
    </x:row>
    <x:row r="5" ht="36" customHeight="1">
      <x:c r="A5" s="37" t="str">
        <x:v>AE-001</x:v>
      </x:c>
      <x:c r="B5" s="40" t="str"/>
      <x:c r="C5" s="40" t="str"/>
      <x:c r="D5" s="40" t="str"/>
      <x:c r="E5" s="40" t="str"/>
      <x:c r="F5" s="40" t="str"/>
      <x:c r="G5" s="40" t="str"/>
      <x:c r="H5" s="40" t="str"/>
      <x:c r="I5" s="40" t="str"/>
      <x:c r="J5" s="40" t="str"/>
      <x:c r="K5" s="40" t="str">
        <x:v>Evidence required</x:v>
      </x:c>
    </x:row>
    <x:row r="6" ht="36" customHeight="1">
      <x:c r="A6" s="38" t="str"/>
      <x:c r="B6" s="41" t="str"/>
      <x:c r="C6" s="41" t="str"/>
      <x:c r="D6" s="41" t="str"/>
      <x:c r="E6" s="41" t="str"/>
      <x:c r="F6" s="41" t="str"/>
      <x:c r="G6" s="41" t="str"/>
      <x:c r="H6" s="41" t="str"/>
      <x:c r="I6" s="41" t="str"/>
      <x:c r="J6" s="41" t="str"/>
      <x:c r="K6" s="41" t="str"/>
    </x:row>
    <x:row r="7" ht="36" customHeight="1">
      <x:c r="A7" s="38" t="str"/>
      <x:c r="B7" s="41" t="str"/>
      <x:c r="C7" s="41" t="str"/>
      <x:c r="D7" s="41" t="str"/>
      <x:c r="E7" s="41" t="str"/>
      <x:c r="F7" s="41" t="str"/>
      <x:c r="G7" s="41" t="str"/>
      <x:c r="H7" s="41" t="str"/>
      <x:c r="I7" s="41" t="str"/>
      <x:c r="J7" s="41" t="str"/>
      <x:c r="K7" s="41" t="str"/>
    </x:row>
    <x:row r="8" ht="36" customHeight="1">
      <x:c r="A8" s="38" t="str"/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  <x:c r="K8" s="41" t="str"/>
    </x:row>
    <x:row r="9" ht="36" customHeight="1">
      <x:c r="A9" s="38" t="str"/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  <x:c r="K9" s="41" t="str"/>
    </x:row>
    <x:row r="10" ht="36" customHeight="1">
      <x:c r="A10" s="38" t="str"/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  <x:c r="K10" s="41" t="str"/>
    </x:row>
    <x:row r="11" ht="36" customHeight="1">
      <x:c r="A11" s="38" t="str"/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  <x:c r="K11" s="41" t="str"/>
    </x:row>
    <x:row r="12" ht="36" customHeight="1">
      <x:c r="A12" s="38" t="str"/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  <x:c r="K12" s="41" t="str"/>
    </x:row>
    <x:row r="13" ht="36" customHeight="1">
      <x:c r="A13" s="38" t="str"/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  <x:c r="K13" s="41" t="str"/>
    </x:row>
    <x:row r="14" ht="36" customHeight="1">
      <x:c r="A14" s="39" t="str"/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/>
      <x:c r="K14" s="42" t="str"/>
    </x:row>
  </x:sheetData>
  <x:mergeCells>
    <x:mergeCell ref="A1:K1"/>
    <x:mergeCell ref="A2:K2"/>
  </x:mergeCells>
  <x:dataValidations count="2">
    <x:dataValidation type="list" sqref="H5:H14">
      <x:formula1>"Concept,Development,Qualified,Validated,Transferred,Retired,Not established"</x:formula1>
    </x:dataValidation>
    <x:dataValidation type="list" sqref="K5:K14">
      <x:formula1>"Evidence required,Qualified review required,Not applicable"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34" hidden="0" customWidth="1"/>
    <x:col min="5" max="5" width="20" hidden="0" customWidth="1"/>
    <x:col min="6" max="6" width="34" hidden="0" customWidth="1"/>
    <x:col min="7" max="7" width="30" hidden="0" customWidth="1"/>
    <x:col min="8" max="8" width="26" hidden="0" customWidth="1"/>
    <x:col min="9" max="9" width="18" hidden="0" customWidth="1"/>
    <x:col min="10" max="10" width="22" hidden="0" customWidth="1"/>
    <x:col min="11" max="11" width="24" hidden="0" customWidth="1"/>
  </x:cols>
  <x:sheetData>
    <x:row r="1" ht="30" customHeight="1">
      <x:c r="A1" s="3" t="str">
        <x:v>Control Strategy</x:v>
      </x:c>
    </x:row>
    <x:row r="2" ht="32" customHeight="1">
      <x:c r="A2" s="7" t="str">
        <x:v>Compare control layers and lifecycle resilience. Final testing is not automatically the complete strategy.</x:v>
      </x:c>
    </x:row>
    <x:row r="4" ht="38" customHeight="1">
      <x:c r="A4" s="16" t="str">
        <x:v>Control ID</x:v>
      </x:c>
      <x:c r="B4" s="17" t="str">
        <x:v>Impurity / risk</x:v>
      </x:c>
      <x:c r="C4" s="17" t="str">
        <x:v>Control layer</x:v>
      </x:c>
      <x:c r="D4" s="17" t="str">
        <x:v>Control / rationale</x:v>
      </x:c>
      <x:c r="E4" s="17" t="str">
        <x:v>Evidence IDs</x:v>
      </x:c>
      <x:c r="F4" s="17" t="str">
        <x:v>Limitation / residual risk</x:v>
      </x:c>
      <x:c r="G4" s="17" t="str">
        <x:v>Change trigger</x:v>
      </x:c>
      <x:c r="H4" s="17" t="str">
        <x:v>Owner / reviewer</x:v>
      </x:c>
      <x:c r="I4" s="17" t="str">
        <x:v>Review state</x:v>
      </x:c>
      <x:c r="J4" s="17" t="str">
        <x:v>Decision</x:v>
      </x:c>
      <x:c r="K4" s="18" t="str">
        <x:v>Row state</x:v>
      </x:c>
    </x:row>
    <x:row r="5" ht="36" customHeight="1">
      <x:c r="A5" s="37" t="str">
        <x:v>CTL-001</x:v>
      </x:c>
      <x:c r="B5" s="40" t="str"/>
      <x:c r="C5" s="40" t="str"/>
      <x:c r="D5" s="40" t="str"/>
      <x:c r="E5" s="40" t="str"/>
      <x:c r="F5" s="40" t="str"/>
      <x:c r="G5" s="40" t="str"/>
      <x:c r="H5" s="40" t="str"/>
      <x:c r="I5" s="40" t="str"/>
      <x:c r="J5" s="40" t="str"/>
      <x:c r="K5" s="29" t="str">
        <x:f>IF(A5="","",IF(OR(B5="",C5="",D5="",E5="",F5="",G5="",H5="",I5&lt;&gt;"Accepted"),"Evidence required","Qualified review required"))</x:f>
        <x:v>Evidence required</x:v>
      </x:c>
    </x:row>
    <x:row r="6" ht="36" customHeight="1">
      <x:c r="A6" s="38" t="str"/>
      <x:c r="B6" s="41" t="str"/>
      <x:c r="C6" s="41" t="str"/>
      <x:c r="D6" s="41" t="str"/>
      <x:c r="E6" s="41" t="str"/>
      <x:c r="F6" s="41" t="str"/>
      <x:c r="G6" s="41" t="str"/>
      <x:c r="H6" s="41" t="str"/>
      <x:c r="I6" s="41" t="str"/>
      <x:c r="J6" s="41" t="str"/>
      <x:c r="K6" s="30" t="str">
        <x:f>IF(A6="","",IF(OR(B6="",C6="",D6="",E6="",F6="",G6="",H6="",I6&lt;&gt;"Accepted"),"Evidence required","Qualified review required"))</x:f>
      </x:c>
    </x:row>
    <x:row r="7" ht="36" customHeight="1">
      <x:c r="A7" s="38" t="str"/>
      <x:c r="B7" s="41" t="str"/>
      <x:c r="C7" s="41" t="str"/>
      <x:c r="D7" s="41" t="str"/>
      <x:c r="E7" s="41" t="str"/>
      <x:c r="F7" s="41" t="str"/>
      <x:c r="G7" s="41" t="str"/>
      <x:c r="H7" s="41" t="str"/>
      <x:c r="I7" s="41" t="str"/>
      <x:c r="J7" s="41" t="str"/>
      <x:c r="K7" s="30" t="str">
        <x:f>IF(A7="","",IF(OR(B7="",C7="",D7="",E7="",F7="",G7="",H7="",I7&lt;&gt;"Accepted"),"Evidence required","Qualified review required"))</x:f>
      </x:c>
    </x:row>
    <x:row r="8" ht="36" customHeight="1">
      <x:c r="A8" s="38" t="str"/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  <x:c r="K8" s="30" t="str">
        <x:f>IF(A8="","",IF(OR(B8="",C8="",D8="",E8="",F8="",G8="",H8="",I8&lt;&gt;"Accepted"),"Evidence required","Qualified review required"))</x:f>
      </x:c>
    </x:row>
    <x:row r="9" ht="36" customHeight="1">
      <x:c r="A9" s="38" t="str"/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  <x:c r="K9" s="30" t="str">
        <x:f>IF(A9="","",IF(OR(B9="",C9="",D9="",E9="",F9="",G9="",H9="",I9&lt;&gt;"Accepted"),"Evidence required","Qualified review required"))</x:f>
      </x:c>
    </x:row>
    <x:row r="10" ht="36" customHeight="1">
      <x:c r="A10" s="38" t="str"/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  <x:c r="K10" s="30" t="str">
        <x:f>IF(A10="","",IF(OR(B10="",C10="",D10="",E10="",F10="",G10="",H10="",I10&lt;&gt;"Accepted"),"Evidence required","Qualified review required"))</x:f>
      </x:c>
    </x:row>
    <x:row r="11" ht="36" customHeight="1">
      <x:c r="A11" s="38" t="str"/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  <x:c r="K11" s="30" t="str">
        <x:f>IF(A11="","",IF(OR(B11="",C11="",D11="",E11="",F11="",G11="",H11="",I11&lt;&gt;"Accepted"),"Evidence required","Qualified review required"))</x:f>
      </x:c>
    </x:row>
    <x:row r="12" ht="36" customHeight="1">
      <x:c r="A12" s="38" t="str"/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  <x:c r="K12" s="30" t="str">
        <x:f>IF(A12="","",IF(OR(B12="",C12="",D12="",E12="",F12="",G12="",H12="",I12&lt;&gt;"Accepted"),"Evidence required","Qualified review required"))</x:f>
      </x:c>
    </x:row>
    <x:row r="13" ht="36" customHeight="1">
      <x:c r="A13" s="38" t="str"/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  <x:c r="K13" s="30" t="str">
        <x:f>IF(A13="","",IF(OR(B13="",C13="",D13="",E13="",F13="",G13="",H13="",I13&lt;&gt;"Accepted"),"Evidence required","Qualified review required"))</x:f>
      </x:c>
    </x:row>
    <x:row r="14" ht="36" customHeight="1">
      <x:c r="A14" s="39" t="str"/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/>
      <x:c r="K14" s="31" t="str">
        <x:f>IF(A14="","",IF(OR(B14="",C14="",D14="",E14="",F14="",G14="",H14="",I14&lt;&gt;"Accepted"),"Evidence required","Qualified review required"))</x:f>
      </x:c>
    </x:row>
  </x:sheetData>
  <x:mergeCells>
    <x:mergeCell ref="A1:K1"/>
    <x:mergeCell ref="A2:K2"/>
  </x:mergeCells>
  <x:dataValidations count="3">
    <x:dataValidation type="list" sqref="C5:C14">
      <x:formula1>"Input control,Process control,In-process test,Intermediate control,Drug-substance specification,Periodic verification,Multiple layers,Other"</x:formula1>
    </x:dataValidation>
    <x:dataValidation type="list" sqref="I5:I14">
      <x:formula1>"Open,Accepted,Rejected,Not applicable"</x:formula1>
    </x:dataValidation>
    <x:dataValidation type="list" sqref="J5:J14">
      <x:formula1>"Not approved,Proceed to qualified review,Revise,Do not proceed"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32" hidden="0" customWidth="1"/>
    <x:col min="4" max="4" width="28" hidden="0" customWidth="1"/>
    <x:col min="5" max="5" width="32" hidden="0" customWidth="1"/>
    <x:col min="6" max="6" width="26" hidden="0" customWidth="1"/>
    <x:col min="7" max="7" width="32" hidden="0" customWidth="1"/>
    <x:col min="8" max="8" width="16" hidden="0" customWidth="1"/>
    <x:col min="9" max="9" width="20" hidden="0" customWidth="1"/>
    <x:col min="10" max="10" width="18" hidden="0" customWidth="1"/>
  </x:cols>
  <x:sheetData>
    <x:row r="1" ht="30" customHeight="1">
      <x:c r="A1" s="3" t="str">
        <x:v>Change Assessment</x:v>
      </x:c>
    </x:row>
    <x:row r="2" ht="32" customHeight="1">
      <x:c r="A2" s="7" t="str">
        <x:v>Reopen origin, fate, analytical, control, validation and filing questions for the exact proposed change.</x:v>
      </x:c>
    </x:row>
    <x:row r="4" ht="38" customHeight="1">
      <x:c r="A4" s="16" t="str">
        <x:v>Change ID</x:v>
      </x:c>
      <x:c r="B4" s="17" t="str">
        <x:v>Proposed change</x:v>
      </x:c>
      <x:c r="C4" s="17" t="str">
        <x:v>Potential impact</x:v>
      </x:c>
      <x:c r="D4" s="17" t="str">
        <x:v>Pre-change evidence</x:v>
      </x:c>
      <x:c r="E4" s="17" t="str">
        <x:v>Evidence plan / actual</x:v>
      </x:c>
      <x:c r="F4" s="17" t="str">
        <x:v>Owner / reviewer</x:v>
      </x:c>
      <x:c r="G4" s="17" t="str">
        <x:v>Validation / filing question</x:v>
      </x:c>
      <x:c r="H4" s="17" t="str">
        <x:v>Authorized?</x:v>
      </x:c>
      <x:c r="I4" s="17" t="str">
        <x:v>Decision evidence</x:v>
      </x:c>
      <x:c r="J4" s="18" t="str">
        <x:v>State</x:v>
      </x:c>
    </x:row>
    <x:row r="5" ht="36" customHeight="1">
      <x:c r="A5" s="37" t="str">
        <x:v>CHG-001</x:v>
      </x:c>
      <x:c r="B5" s="40" t="str"/>
      <x:c r="C5" s="40" t="str"/>
      <x:c r="D5" s="40" t="str"/>
      <x:c r="E5" s="40" t="str"/>
      <x:c r="F5" s="40" t="str"/>
      <x:c r="G5" s="40" t="str"/>
      <x:c r="H5" s="40" t="str"/>
      <x:c r="I5" s="40" t="str"/>
      <x:c r="J5" s="40" t="str">
        <x:v>Open</x:v>
      </x:c>
    </x:row>
    <x:row r="6" ht="36" customHeight="1">
      <x:c r="A6" s="38" t="str"/>
      <x:c r="B6" s="41" t="str"/>
      <x:c r="C6" s="41" t="str"/>
      <x:c r="D6" s="41" t="str"/>
      <x:c r="E6" s="41" t="str"/>
      <x:c r="F6" s="41" t="str"/>
      <x:c r="G6" s="41" t="str"/>
      <x:c r="H6" s="41" t="str"/>
      <x:c r="I6" s="41" t="str"/>
      <x:c r="J6" s="41" t="str"/>
    </x:row>
    <x:row r="7" ht="36" customHeight="1">
      <x:c r="A7" s="38" t="str"/>
      <x:c r="B7" s="41" t="str"/>
      <x:c r="C7" s="41" t="str"/>
      <x:c r="D7" s="41" t="str"/>
      <x:c r="E7" s="41" t="str"/>
      <x:c r="F7" s="41" t="str"/>
      <x:c r="G7" s="41" t="str"/>
      <x:c r="H7" s="41" t="str"/>
      <x:c r="I7" s="41" t="str"/>
      <x:c r="J7" s="41" t="str"/>
    </x:row>
    <x:row r="8" ht="36" customHeight="1">
      <x:c r="A8" s="38" t="str"/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</x:row>
    <x:row r="9" ht="36" customHeight="1">
      <x:c r="A9" s="38" t="str"/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</x:row>
    <x:row r="10" ht="36" customHeight="1">
      <x:c r="A10" s="38" t="str"/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</x:row>
    <x:row r="11" ht="36" customHeight="1">
      <x:c r="A11" s="38" t="str"/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</x:row>
    <x:row r="12" ht="36" customHeight="1">
      <x:c r="A12" s="38" t="str"/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</x:row>
    <x:row r="13" ht="36" customHeight="1">
      <x:c r="A13" s="38" t="str"/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</x:row>
    <x:row r="14" ht="36" customHeight="1">
      <x:c r="A14" s="39" t="str"/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  <x:c r="J14" s="42" t="str"/>
    </x:row>
  </x:sheetData>
  <x:mergeCells>
    <x:mergeCell ref="A1:J1"/>
    <x:mergeCell ref="A2:J2"/>
  </x:mergeCells>
  <x:dataValidations count="2">
    <x:dataValidation type="list" sqref="H5:H14">
      <x:formula1>"Yes,No"</x:formula1>
    </x:dataValidation>
    <x:dataValidation type="list" sqref="J5:J14">
      <x:formula1>"Open,Accepted,Rejected,Not applicable"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20" hidden="0" customWidth="1"/>
    <x:col min="4" max="4" width="18" hidden="0" customWidth="1"/>
    <x:col min="5" max="5" width="32" hidden="0" customWidth="1"/>
    <x:col min="6" max="6" width="32" hidden="0" customWidth="1"/>
    <x:col min="7" max="7" width="24" hidden="0" customWidth="1"/>
    <x:col min="8" max="8" width="18" hidden="0" customWidth="1"/>
    <x:col min="9" max="9" width="36" hidden="0" customWidth="1"/>
  </x:cols>
  <x:sheetData>
    <x:row r="1" ht="30" customHeight="1">
      <x:c r="A1" s="3" t="str">
        <x:v>Evidence Register</x:v>
      </x:c>
    </x:row>
    <x:row r="2" ht="32" customHeight="1">
      <x:c r="A2" s="7" t="str">
        <x:v>Index controlled source, version, applicability, owner and limitations. A URL or title alone is not provenance.</x:v>
      </x:c>
    </x:row>
    <x:row r="4" ht="38" customHeight="1">
      <x:c r="A4" s="16" t="str">
        <x:v>Evidence ID</x:v>
      </x:c>
      <x:c r="B4" s="17" t="str">
        <x:v>Title</x:v>
      </x:c>
      <x:c r="C4" s="17" t="str">
        <x:v>Type</x:v>
      </x:c>
      <x:c r="D4" s="17" t="str">
        <x:v>Version / date</x:v>
      </x:c>
      <x:c r="E4" s="17" t="str">
        <x:v>Locator</x:v>
      </x:c>
      <x:c r="F4" s="17" t="str">
        <x:v>Applicability</x:v>
      </x:c>
      <x:c r="G4" s="17" t="str">
        <x:v>Owner</x:v>
      </x:c>
      <x:c r="H4" s="17" t="str">
        <x:v>Verification</x:v>
      </x:c>
      <x:c r="I4" s="18" t="str">
        <x:v>Limitations</x:v>
      </x:c>
    </x:row>
    <x:row r="5" ht="36" customHeight="1">
      <x:c r="A5" s="37" t="str">
        <x:v>E-001</x:v>
      </x:c>
      <x:c r="B5" s="40" t="str"/>
      <x:c r="C5" s="40" t="str"/>
      <x:c r="D5" s="40" t="str"/>
      <x:c r="E5" s="40" t="str"/>
      <x:c r="F5" s="40" t="str"/>
      <x:c r="G5" s="40" t="str"/>
      <x:c r="H5" s="40" t="str">
        <x:v>Pending</x:v>
      </x:c>
      <x:c r="I5" s="40" t="str"/>
    </x:row>
    <x:row r="6" ht="36" customHeight="1">
      <x:c r="A6" s="38" t="str"/>
      <x:c r="B6" s="41" t="str"/>
      <x:c r="C6" s="41" t="str"/>
      <x:c r="D6" s="41" t="str"/>
      <x:c r="E6" s="41" t="str"/>
      <x:c r="F6" s="41" t="str"/>
      <x:c r="G6" s="41" t="str"/>
      <x:c r="H6" s="41" t="str"/>
      <x:c r="I6" s="41" t="str"/>
    </x:row>
    <x:row r="7" ht="36" customHeight="1">
      <x:c r="A7" s="38" t="str"/>
      <x:c r="B7" s="41" t="str"/>
      <x:c r="C7" s="41" t="str"/>
      <x:c r="D7" s="41" t="str"/>
      <x:c r="E7" s="41" t="str"/>
      <x:c r="F7" s="41" t="str"/>
      <x:c r="G7" s="41" t="str"/>
      <x:c r="H7" s="41" t="str"/>
      <x:c r="I7" s="41" t="str"/>
    </x:row>
    <x:row r="8" ht="36" customHeight="1">
      <x:c r="A8" s="38" t="str"/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</x:row>
    <x:row r="9" ht="36" customHeight="1">
      <x:c r="A9" s="38" t="str"/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</x:row>
    <x:row r="10" ht="36" customHeight="1">
      <x:c r="A10" s="38" t="str"/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</x:row>
    <x:row r="11" ht="36" customHeight="1">
      <x:c r="A11" s="38" t="str"/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</x:row>
    <x:row r="12" ht="36" customHeight="1">
      <x:c r="A12" s="38" t="str"/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</x:row>
    <x:row r="13" ht="36" customHeight="1">
      <x:c r="A13" s="38" t="str"/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</x:row>
    <x:row r="14" ht="36" customHeight="1">
      <x:c r="A14" s="39" t="str"/>
      <x:c r="B14" s="42" t="str"/>
      <x:c r="C14" s="42" t="str"/>
      <x:c r="D14" s="42" t="str"/>
      <x:c r="E14" s="42" t="str"/>
      <x:c r="F14" s="42" t="str"/>
      <x:c r="G14" s="42" t="str"/>
      <x:c r="H14" s="42" t="str"/>
      <x:c r="I14" s="42" t="str"/>
    </x:row>
  </x:sheetData>
  <x:mergeCells>
    <x:mergeCell ref="A1:I1"/>
    <x:mergeCell ref="A2:I2"/>
  </x:mergeCells>
  <x:dataValidations count="1">
    <x:dataValidation type="list" sqref="H5:H14">
      <x:formula1>"Pending,Verified,Rejected,Licensed access required"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8" hidden="0" customWidth="1"/>
    <x:col min="4" max="4" width="24" hidden="0" customWidth="1"/>
    <x:col min="5" max="5" width="16" hidden="0" customWidth="1"/>
    <x:col min="6" max="6" width="20" hidden="0" customWidth="1"/>
    <x:col min="7" max="7" width="14" hidden="0" customWidth="1"/>
    <x:col min="8" max="8" width="30" hidden="0" customWidth="1"/>
    <x:col min="9" max="9" width="16" hidden="0" customWidth="1"/>
    <x:col min="10" max="10" width="34" hidden="0" customWidth="1"/>
  </x:cols>
  <x:sheetData>
    <x:row r="1" ht="30" customHeight="1">
      <x:c r="A1" s="3" t="str">
        <x:v>Review &amp; Actions</x:v>
      </x:c>
    </x:row>
    <x:row r="2" ht="32" customHeight="1">
      <x:c r="A2" s="7" t="str">
        <x:v>Every material gap needs evidence, an owner, a date and closure evidence or an explicit decision not to proceed.</x:v>
      </x:c>
    </x:row>
    <x:row r="4" ht="38" customHeight="1">
      <x:c r="A4" s="16" t="str">
        <x:v>Action ID</x:v>
      </x:c>
      <x:c r="B4" s="17" t="str">
        <x:v>Type</x:v>
      </x:c>
      <x:c r="C4" s="17" t="str">
        <x:v>Action / question</x:v>
      </x:c>
      <x:c r="D4" s="17" t="str">
        <x:v>Owner</x:v>
      </x:c>
      <x:c r="E4" s="17" t="str">
        <x:v>Due date</x:v>
      </x:c>
      <x:c r="F4" s="17" t="str">
        <x:v>Evidence IDs</x:v>
      </x:c>
      <x:c r="G4" s="17" t="str">
        <x:v>Priority</x:v>
      </x:c>
      <x:c r="H4" s="17" t="str">
        <x:v>Closure evidence</x:v>
      </x:c>
      <x:c r="I4" s="17" t="str">
        <x:v>State</x:v>
      </x:c>
      <x:c r="J4" s="18" t="str">
        <x:v>Decision impact</x:v>
      </x:c>
    </x:row>
    <x:row r="5" ht="36" customHeight="1">
      <x:c r="A5" s="37" t="str">
        <x:v>A-001</x:v>
      </x:c>
      <x:c r="B5" s="40" t="str">
        <x:v>Evidence gap</x:v>
      </x:c>
      <x:c r="C5" s="40" t="str"/>
      <x:c r="D5" s="40" t="str"/>
      <x:c r="E5" s="46" t="str"/>
      <x:c r="F5" s="40" t="str"/>
      <x:c r="G5" s="40" t="str">
        <x:v>High</x:v>
      </x:c>
      <x:c r="H5" s="40" t="str"/>
      <x:c r="I5" s="40" t="str">
        <x:v>Open</x:v>
      </x:c>
      <x:c r="J5" s="40" t="str"/>
    </x:row>
    <x:row r="6" ht="36" customHeight="1">
      <x:c r="A6" s="38" t="str"/>
      <x:c r="B6" s="41" t="str"/>
      <x:c r="C6" s="41" t="str"/>
      <x:c r="D6" s="41" t="str"/>
      <x:c r="E6" s="47" t="str"/>
      <x:c r="F6" s="41" t="str"/>
      <x:c r="G6" s="41" t="str"/>
      <x:c r="H6" s="41" t="str"/>
      <x:c r="I6" s="41" t="str"/>
      <x:c r="J6" s="41" t="str"/>
    </x:row>
    <x:row r="7" ht="36" customHeight="1">
      <x:c r="A7" s="38" t="str"/>
      <x:c r="B7" s="41" t="str"/>
      <x:c r="C7" s="41" t="str"/>
      <x:c r="D7" s="41" t="str"/>
      <x:c r="E7" s="47" t="str"/>
      <x:c r="F7" s="41" t="str"/>
      <x:c r="G7" s="41" t="str"/>
      <x:c r="H7" s="41" t="str"/>
      <x:c r="I7" s="41" t="str"/>
      <x:c r="J7" s="41" t="str"/>
    </x:row>
    <x:row r="8" ht="36" customHeight="1">
      <x:c r="A8" s="38" t="str"/>
      <x:c r="B8" s="41" t="str"/>
      <x:c r="C8" s="41" t="str"/>
      <x:c r="D8" s="41" t="str"/>
      <x:c r="E8" s="47" t="str"/>
      <x:c r="F8" s="41" t="str"/>
      <x:c r="G8" s="41" t="str"/>
      <x:c r="H8" s="41" t="str"/>
      <x:c r="I8" s="41" t="str"/>
      <x:c r="J8" s="41" t="str"/>
    </x:row>
    <x:row r="9" ht="36" customHeight="1">
      <x:c r="A9" s="38" t="str"/>
      <x:c r="B9" s="41" t="str"/>
      <x:c r="C9" s="41" t="str"/>
      <x:c r="D9" s="41" t="str"/>
      <x:c r="E9" s="47" t="str"/>
      <x:c r="F9" s="41" t="str"/>
      <x:c r="G9" s="41" t="str"/>
      <x:c r="H9" s="41" t="str"/>
      <x:c r="I9" s="41" t="str"/>
      <x:c r="J9" s="41" t="str"/>
    </x:row>
    <x:row r="10" ht="36" customHeight="1">
      <x:c r="A10" s="38" t="str"/>
      <x:c r="B10" s="41" t="str"/>
      <x:c r="C10" s="41" t="str"/>
      <x:c r="D10" s="41" t="str"/>
      <x:c r="E10" s="47" t="str"/>
      <x:c r="F10" s="41" t="str"/>
      <x:c r="G10" s="41" t="str"/>
      <x:c r="H10" s="41" t="str"/>
      <x:c r="I10" s="41" t="str"/>
      <x:c r="J10" s="41" t="str"/>
    </x:row>
    <x:row r="11" ht="36" customHeight="1">
      <x:c r="A11" s="38" t="str"/>
      <x:c r="B11" s="41" t="str"/>
      <x:c r="C11" s="41" t="str"/>
      <x:c r="D11" s="41" t="str"/>
      <x:c r="E11" s="47" t="str"/>
      <x:c r="F11" s="41" t="str"/>
      <x:c r="G11" s="41" t="str"/>
      <x:c r="H11" s="41" t="str"/>
      <x:c r="I11" s="41" t="str"/>
      <x:c r="J11" s="41" t="str"/>
    </x:row>
    <x:row r="12" ht="36" customHeight="1">
      <x:c r="A12" s="38" t="str"/>
      <x:c r="B12" s="41" t="str"/>
      <x:c r="C12" s="41" t="str"/>
      <x:c r="D12" s="41" t="str"/>
      <x:c r="E12" s="47" t="str"/>
      <x:c r="F12" s="41" t="str"/>
      <x:c r="G12" s="41" t="str"/>
      <x:c r="H12" s="41" t="str"/>
      <x:c r="I12" s="41" t="str"/>
      <x:c r="J12" s="41" t="str"/>
    </x:row>
    <x:row r="13" ht="36" customHeight="1">
      <x:c r="A13" s="38" t="str"/>
      <x:c r="B13" s="41" t="str"/>
      <x:c r="C13" s="41" t="str"/>
      <x:c r="D13" s="41" t="str"/>
      <x:c r="E13" s="47" t="str"/>
      <x:c r="F13" s="41" t="str"/>
      <x:c r="G13" s="41" t="str"/>
      <x:c r="H13" s="41" t="str"/>
      <x:c r="I13" s="41" t="str"/>
      <x:c r="J13" s="41" t="str"/>
    </x:row>
    <x:row r="14" ht="36" customHeight="1">
      <x:c r="A14" s="39" t="str"/>
      <x:c r="B14" s="42" t="str"/>
      <x:c r="C14" s="42" t="str"/>
      <x:c r="D14" s="42" t="str"/>
      <x:c r="E14" s="48" t="str"/>
      <x:c r="F14" s="42" t="str"/>
      <x:c r="G14" s="42" t="str"/>
      <x:c r="H14" s="42" t="str"/>
      <x:c r="I14" s="42" t="str"/>
      <x:c r="J14" s="42" t="str"/>
    </x:row>
  </x:sheetData>
  <x:mergeCells>
    <x:mergeCell ref="A1:J1"/>
    <x:mergeCell ref="A2:J2"/>
  </x:mergeCells>
  <x:dataValidations count="3">
    <x:dataValidation type="list" sqref="B5:B14">
      <x:formula1>"Evidence gap,Analytical,Process,Safety,Change,Validation,Regulatory,Decision"</x:formula1>
    </x:dataValidation>
    <x:dataValidation type="list" sqref="G5:G14">
      <x:formula1>"Low,Medium,High"</x:formula1>
    </x:dataValidation>
    <x:dataValidation type="list" sqref="I5:I14">
      <x:formula1>"Open,In progress,Closed,Cancelled"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55" hidden="0" customWidth="1"/>
    <x:col min="4" max="4" width="28" hidden="0" customWidth="1"/>
    <x:col min="5" max="5" width="48" hidden="0" customWidth="1"/>
    <x:col min="6" max="6" width="16" hidden="0" customWidth="1"/>
  </x:cols>
  <x:sheetData>
    <x:row r="1" ht="30" customHeight="1">
      <x:c r="A1" s="3" t="str">
        <x:v>Sources, Applicability &amp; Review Control</x:v>
      </x:c>
    </x:row>
    <x:row r="2" ht="32" customHeight="1">
      <x:c r="A2" s="7" t="str">
        <x:v>Official-source index and workbook release boundary. Verify current regional implementation before controlled use.</x:v>
      </x:c>
    </x:row>
    <x:row r="4" ht="38" customHeight="1">
      <x:c r="A4" s="16" t="str">
        <x:v>Source ID</x:v>
      </x:c>
      <x:c r="B4" s="17" t="str">
        <x:v>Source / edition</x:v>
      </x:c>
      <x:c r="C4" s="17" t="str">
        <x:v>Official URL</x:v>
      </x:c>
      <x:c r="D4" s="17" t="str">
        <x:v>Decision use</x:v>
      </x:c>
      <x:c r="E4" s="17" t="str">
        <x:v>Licensing / applicability boundary</x:v>
      </x:c>
      <x:c r="F4" s="18" t="str">
        <x:v>Verified</x:v>
      </x:c>
    </x:row>
    <x:row r="5" ht="36" customHeight="1">
      <x:c r="A5" s="26" t="str">
        <x:v>ICH-Q11</x:v>
      </x:c>
      <x:c r="B5" s="26" t="str">
        <x:v>Q11 Step 4</x:v>
      </x:c>
      <x:c r="C5" s="26" t="str">
        <x:v>https://database.ich.org/sites/default/files/Q11_Guideline.pdf</x:v>
      </x:c>
      <x:c r="D5" s="26" t="str">
        <x:v>Drug-substance development and control strategy</x:v>
      </x:c>
      <x:c r="E5" s="26" t="str">
        <x:v>No product-specific route, starting material or process acceptance</x:v>
      </x:c>
      <x:c r="F5" s="26" t="str">
        <x:v>2026-08-04</x:v>
      </x:c>
    </x:row>
    <x:row r="6" ht="36" customHeight="1">
      <x:c r="A6" s="27" t="str">
        <x:v>ICH-Q11-QA</x:v>
      </x:c>
      <x:c r="B6" s="27" t="str">
        <x:v>Q11 Q&amp;As Step 4</x:v>
      </x:c>
      <x:c r="C6" s="27" t="str">
        <x:v>https://database.ich.org/sites/default/files/Q11_Q%26As_Q%26As.pdf</x:v>
      </x:c>
      <x:c r="D6" s="27" t="str">
        <x:v>Starting-material clarification</x:v>
      </x:c>
      <x:c r="E6" s="27" t="str">
        <x:v>No product-specific starting-material acceptance</x:v>
      </x:c>
      <x:c r="F6" s="27" t="str">
        <x:v>2026-08-04</x:v>
      </x:c>
    </x:row>
    <x:row r="7" ht="36" customHeight="1">
      <x:c r="A7" s="27" t="str">
        <x:v>ICH-Q3A-R2</x:v>
      </x:c>
      <x:c r="B7" s="27" t="str">
        <x:v>Q3A(R2)</x:v>
      </x:c>
      <x:c r="C7" s="27" t="str">
        <x:v>https://database.ich.org/sites/default/files/Q3A_R2__Guideline.pdf</x:v>
      </x:c>
      <x:c r="D7" s="27" t="str">
        <x:v>Applicable organic-impurity context</x:v>
      </x:c>
      <x:c r="E7" s="27" t="str">
        <x:v>Retain exact scope; no universal criteria</x:v>
      </x:c>
      <x:c r="F7" s="27" t="str">
        <x:v>2026-08-04</x:v>
      </x:c>
    </x:row>
    <x:row r="8" ht="36" customHeight="1">
      <x:c r="A8" s="27" t="str">
        <x:v>ICH-Q3C-R9</x:v>
      </x:c>
      <x:c r="B8" s="27" t="str">
        <x:v>Q3C(R9)</x:v>
      </x:c>
      <x:c r="C8" s="27" t="str">
        <x:v>https://database.ich.org/sites/default/files/ICH_Q3C%28R9%29_Guideline_MinorRevision_2024_2024_Approved.pdf</x:v>
      </x:c>
      <x:c r="D8" s="27" t="str">
        <x:v>Residual-solvent context</x:v>
      </x:c>
      <x:c r="E8" s="27" t="str">
        <x:v>Verify maintenance and product scope; no PDE supplied</x:v>
      </x:c>
      <x:c r="F8" s="27" t="str">
        <x:v>2026-08-04</x:v>
      </x:c>
    </x:row>
    <x:row r="9" ht="36" customHeight="1">
      <x:c r="A9" s="27" t="str">
        <x:v>ICH-Q3D-R2</x:v>
      </x:c>
      <x:c r="B9" s="27" t="str">
        <x:v>Q3D(R2)</x:v>
      </x:c>
      <x:c r="C9" s="27" t="str">
        <x:v>https://database.ich.org/sites/default/files/ICH_Q3D%28R2%29_Guideline_Step4_2022_0308.pdf</x:v>
      </x:c>
      <x:c r="D9" s="27" t="str">
        <x:v>Elemental-impurity context</x:v>
      </x:c>
      <x:c r="E9" s="27" t="str">
        <x:v>No product-specific risk assessment</x:v>
      </x:c>
      <x:c r="F9" s="27" t="str">
        <x:v>2026-08-04</x:v>
      </x:c>
    </x:row>
    <x:row r="10" ht="36" customHeight="1">
      <x:c r="A10" s="27" t="str">
        <x:v>ICH-M7-R2</x:v>
      </x:c>
      <x:c r="B10" s="27" t="str">
        <x:v>M7(R2)</x:v>
      </x:c>
      <x:c r="C10" s="27" t="str">
        <x:v>https://database.ich.org/sites/default/files/ICH_M7%28R2%29_Guideline_Step4_2023_0216_0.pdf</x:v>
      </x:c>
      <x:c r="D10" s="27" t="str">
        <x:v>Applicable mutagenic-impurity context</x:v>
      </x:c>
      <x:c r="E10" s="27" t="str">
        <x:v>No classification, acceptable intake or control option supplied</x:v>
      </x:c>
      <x:c r="F10" s="27" t="str">
        <x:v>2026-08-04</x:v>
      </x:c>
    </x:row>
    <x:row r="11" ht="36" customHeight="1">
      <x:c r="A11" s="27" t="str">
        <x:v>ICH-Q6A</x:v>
      </x:c>
      <x:c r="B11" s="27" t="str">
        <x:v>Q6A Step 4</x:v>
      </x:c>
      <x:c r="C11" s="27" t="str">
        <x:v>https://database.ich.org/sites/default/files/Q6A%20Guideline.pdf</x:v>
      </x:c>
      <x:c r="D11" s="27" t="str">
        <x:v>Specification definition and justification</x:v>
      </x:c>
      <x:c r="E11" s="27" t="str">
        <x:v>Monitor revision; no product specification</x:v>
      </x:c>
      <x:c r="F11" s="27" t="str">
        <x:v>2026-08-04</x:v>
      </x:c>
    </x:row>
    <x:row r="12" ht="36" customHeight="1">
      <x:c r="A12" s="27" t="str">
        <x:v>ICH-Q7</x:v>
      </x:c>
      <x:c r="B12" s="27" t="str">
        <x:v>Q7 Step 4</x:v>
      </x:c>
      <x:c r="C12" s="27" t="str">
        <x:v>https://database.ich.org/sites/default/files/Q7_Guideline.pdf</x:v>
      </x:c>
      <x:c r="D12" s="27" t="str">
        <x:v>API GMP lifecycle</x:v>
      </x:c>
      <x:c r="E12" s="27" t="str">
        <x:v>Confirm operation and regional applicability</x:v>
      </x:c>
      <x:c r="F12" s="27" t="str">
        <x:v>2026-08-04</x:v>
      </x:c>
    </x:row>
    <x:row r="13" ht="36" customHeight="1">
      <x:c r="A13" s="27" t="str">
        <x:v>ICH-Q2-R2</x:v>
      </x:c>
      <x:c r="B13" s="27" t="str">
        <x:v>Q2(R2) Step 4</x:v>
      </x:c>
      <x:c r="C13" s="27" t="str">
        <x:v>https://database.ich.org/sites/default/files/ICH_Q2-R2_Guideline_2023_1130.pdf</x:v>
      </x:c>
      <x:c r="D13" s="27" t="str">
        <x:v>Analytical validation</x:v>
      </x:c>
      <x:c r="E13" s="27" t="str">
        <x:v>Exact intended use, matrix and region required</x:v>
      </x:c>
      <x:c r="F13" s="27" t="str">
        <x:v>2026-08-04</x:v>
      </x:c>
    </x:row>
    <x:row r="14" ht="36" customHeight="1">
      <x:c r="A14" s="27" t="str">
        <x:v>ICH-Q14</x:v>
      </x:c>
      <x:c r="B14" s="27" t="str">
        <x:v>Q14 Step 4</x:v>
      </x:c>
      <x:c r="C14" s="27" t="str">
        <x:v>https://database.ich.org/sites/default/files/ICH_Q14_Guideline_2023_1116.pdf</x:v>
      </x:c>
      <x:c r="D14" s="27" t="str">
        <x:v>Analytical development and lifecycle</x:v>
      </x:c>
      <x:c r="E14" s="27" t="str">
        <x:v>No product-specific procedure or criterion</x:v>
      </x:c>
      <x:c r="F14" s="27" t="str">
        <x:v>2026-08-04</x:v>
      </x:c>
    </x:row>
    <x:row r="15" ht="36" customHeight="1">
      <x:c r="A15" s="27" t="str">
        <x:v>ICH-Q9-R1</x:v>
      </x:c>
      <x:c r="B15" s="27" t="str">
        <x:v>Q9(R1) Step 4</x:v>
      </x:c>
      <x:c r="C15" s="27" t="str">
        <x:v>https://database.ich.org/sites/default/files/ICH_Q9-R1_Guideline_Step4_2022_1219.pdf</x:v>
      </x:c>
      <x:c r="D15" s="27" t="str">
        <x:v>Risk, uncertainty and formality</x:v>
      </x:c>
      <x:c r="E15" s="27" t="str">
        <x:v>Risk scoring cannot create missing evidence</x:v>
      </x:c>
      <x:c r="F15" s="27" t="str">
        <x:v>2026-08-04</x:v>
      </x:c>
    </x:row>
    <x:row r="16" ht="36" customHeight="1">
      <x:c r="A16" s="28" t="str">
        <x:v>ICH-Q10</x:v>
      </x:c>
      <x:c r="B16" s="28" t="str">
        <x:v>Q10 Step 4</x:v>
      </x:c>
      <x:c r="C16" s="28" t="str">
        <x:v>https://database.ich.org/sites/default/files/Q10_Guideline.pdf</x:v>
      </x:c>
      <x:c r="D16" s="28" t="str">
        <x:v>Knowledge, change and PQS governance</x:v>
      </x:c>
      <x:c r="E16" s="28" t="str">
        <x:v>Workflow completion is not approval</x:v>
      </x:c>
      <x:c r="F16" s="28" t="str">
        <x:v>2026-08-04</x:v>
      </x:c>
    </x:row>
    <x:row r="18" ht="38" customHeight="1">
      <x:c r="A18" s="16" t="str">
        <x:v>Control field</x:v>
      </x:c>
      <x:c r="B18" s="18" t="str">
        <x:v>Value</x:v>
      </x:c>
      <x:c r="D18" s="16" t="str">
        <x:v>Release check</x:v>
      </x:c>
      <x:c r="E18" s="18" t="str">
        <x:v>Formula result</x:v>
      </x:c>
    </x:row>
    <x:row r="19" ht="36" customHeight="1">
      <x:c r="A19" s="26" t="str">
        <x:v>Content version</x:v>
      </x:c>
      <x:c r="B19" s="26" t="str">
        <x:v>1.0.0-review</x:v>
      </x:c>
      <x:c r="D19" s="26" t="str">
        <x:v>Open actions</x:v>
      </x:c>
      <x:c r="E19" s="29" t="n">
        <x:f>COUNTIF('Review &amp; Actions'!$I$5:$I$14,"Open")</x:f>
        <x:v>1</x:v>
      </x:c>
    </x:row>
    <x:row r="20" ht="36" customHeight="1">
      <x:c r="A20" s="27" t="str">
        <x:v>Review status</x:v>
      </x:c>
      <x:c r="B20" s="27" t="str">
        <x:v>under-review</x:v>
      </x:c>
      <x:c r="D20" s="27" t="str">
        <x:v>Fate evidence gaps</x:v>
      </x:c>
      <x:c r="E20" s="30" t="n">
        <x:f>COUNTIF('Observed Fate'!$M$5:$M$14,"Evidence required")</x:f>
        <x:v>1</x:v>
      </x:c>
    </x:row>
    <x:row r="21" ht="36" customHeight="1">
      <x:c r="A21" s="27" t="str">
        <x:v>Reviewed by role</x:v>
      </x:c>
      <x:c r="B21" s="27" t="str">
        <x:v>Not recorded — qualified cross-functional review required</x:v>
      </x:c>
      <x:c r="D21" s="27" t="str">
        <x:v>Control evidence gaps</x:v>
      </x:c>
      <x:c r="E21" s="30" t="n">
        <x:f>COUNTIF('Control Strategy'!$K$5:$K$14,"Evidence required")</x:f>
        <x:v>1</x:v>
      </x:c>
    </x:row>
    <x:row r="22" ht="36" customHeight="1">
      <x:c r="A22" s="28" t="str">
        <x:v>Applicability and limitations</x:v>
      </x:c>
      <x:c r="B22" s="28" t="str">
        <x:v>Small-molecule API evidence structure only; no chemistry, purge, safety, specification, validation, filing or disposition conclusion</x:v>
      </x:c>
      <x:c r="D22" s="28" t="str">
        <x:v>Global state</x:v>
      </x:c>
      <x:c r="E22" s="31" t="str">
        <x:f>IF(OR(E19&gt;0,E20&gt;0,E21&gt;0),"Evidence required","Qualified review required")</x:f>
        <x:v>Evidence required</x:v>
      </x:c>
    </x:row>
  </x:sheetData>
  <x:mergeCells>
    <x:mergeCell ref="A1:F1"/>
    <x:mergeCell ref="A2:F2"/>
  </x:mergeCells>
  <x:pageMargins left="0.7" right="0.7" top="0.75" bottom="0.75" header="0.3" footer="0.3"/>
</x:worksheet>
</file>