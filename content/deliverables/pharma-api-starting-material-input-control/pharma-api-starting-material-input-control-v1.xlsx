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5996934db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5ce32d41a6bf43e8"/>
    <x:sheet xmlns:r="http://schemas.openxmlformats.org/officeDocument/2006/relationships" name="Decision Brief" sheetId="2" r:id="R1eb3b208877c4b64"/>
    <x:sheet xmlns:r="http://schemas.openxmlformats.org/officeDocument/2006/relationships" name="Route Boundary" sheetId="3" r:id="Rc71020e1e5bc47da"/>
    <x:sheet xmlns:r="http://schemas.openxmlformats.org/officeDocument/2006/relationships" name="Material Portfolio" sheetId="4" r:id="R61e9de81db574835"/>
    <x:sheet xmlns:r="http://schemas.openxmlformats.org/officeDocument/2006/relationships" name="Supplier Chain" sheetId="5" r:id="R79e0a52db58d433a"/>
    <x:sheet xmlns:r="http://schemas.openxmlformats.org/officeDocument/2006/relationships" name="Specification Basis" sheetId="6" r:id="R3d8bf1ef3a9340bb"/>
    <x:sheet xmlns:r="http://schemas.openxmlformats.org/officeDocument/2006/relationships" name="Impurity Link" sheetId="7" r:id="Ra9fa7502e6804d5a"/>
    <x:sheet xmlns:r="http://schemas.openxmlformats.org/officeDocument/2006/relationships" name="Incoming Control" sheetId="8" r:id="Redbfdbe73b6d45dd"/>
    <x:sheet xmlns:r="http://schemas.openxmlformats.org/officeDocument/2006/relationships" name="Change Assessment" sheetId="9" r:id="R0cf39475439845e3"/>
    <x:sheet xmlns:r="http://schemas.openxmlformats.org/officeDocument/2006/relationships" name="Evidence Register" sheetId="10" r:id="Rc7474d908a4d4c94"/>
    <x:sheet xmlns:r="http://schemas.openxmlformats.org/officeDocument/2006/relationships" name="Review &amp; Actions" sheetId="11" r:id="R55ed1e656f5d4a86"/>
    <x:sheet xmlns:r="http://schemas.openxmlformats.org/officeDocument/2006/relationships" name="Sources &amp; Control" sheetId="12" r:id="R6d277a0d39af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243B53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0E7490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1febc806242dd" /><Relationship Type="http://schemas.openxmlformats.org/officeDocument/2006/relationships/theme" Target="/xl/theme/theme1.xml" Id="Rf982724408744674" /><Relationship Type="http://schemas.openxmlformats.org/officeDocument/2006/relationships/sharedStrings" Target="/xl/sharedStrings.xml" Id="R683f8f868dc7448c" /><Relationship Type="http://schemas.openxmlformats.org/officeDocument/2006/relationships/worksheet" Target="/xl/worksheets/sheet1.xml" Id="R5ce32d41a6bf43e8" /><Relationship Type="http://schemas.openxmlformats.org/officeDocument/2006/relationships/worksheet" Target="/xl/worksheets/sheet2.xml" Id="R1eb3b208877c4b64" /><Relationship Type="http://schemas.openxmlformats.org/officeDocument/2006/relationships/worksheet" Target="/xl/worksheets/sheet3.xml" Id="Rc71020e1e5bc47da" /><Relationship Type="http://schemas.openxmlformats.org/officeDocument/2006/relationships/worksheet" Target="/xl/worksheets/sheet4.xml" Id="R61e9de81db574835" /><Relationship Type="http://schemas.openxmlformats.org/officeDocument/2006/relationships/worksheet" Target="/xl/worksheets/sheet5.xml" Id="R79e0a52db58d433a" /><Relationship Type="http://schemas.openxmlformats.org/officeDocument/2006/relationships/worksheet" Target="/xl/worksheets/sheet6.xml" Id="R3d8bf1ef3a9340bb" /><Relationship Type="http://schemas.openxmlformats.org/officeDocument/2006/relationships/worksheet" Target="/xl/worksheets/sheet7.xml" Id="Ra9fa7502e6804d5a" /><Relationship Type="http://schemas.openxmlformats.org/officeDocument/2006/relationships/worksheet" Target="/xl/worksheets/sheet8.xml" Id="Redbfdbe73b6d45dd" /><Relationship Type="http://schemas.openxmlformats.org/officeDocument/2006/relationships/worksheet" Target="/xl/worksheets/sheet9.xml" Id="R0cf39475439845e3" /><Relationship Type="http://schemas.openxmlformats.org/officeDocument/2006/relationships/worksheet" Target="/xl/worksheets/sheet10.xml" Id="Rc7474d908a4d4c94" /><Relationship Type="http://schemas.openxmlformats.org/officeDocument/2006/relationships/worksheet" Target="/xl/worksheets/sheet11.xml" Id="R55ed1e656f5d4a86" /><Relationship Type="http://schemas.openxmlformats.org/officeDocument/2006/relationships/worksheet" Target="/xl/worksheets/sheet12.xml" Id="R6d277a0d39af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1" t="str">
        <x:v>Pharma API Starting Material &amp; Input Control Evidence Map</x:v>
      </x:c>
      <x:c r="B1" s="11"/>
      <x:c r="C1" s="11"/>
      <x:c r="D1" s="11"/>
      <x:c r="E1" s="11"/>
      <x:c r="F1" s="11"/>
      <x:c r="G1" s="11"/>
      <x:c r="H1" s="11"/>
    </x:row>
    <x:row r="2" ht="34" customHeight="1">
      <x:c r="A2" s="12" t="str">
        <x:v>Evidence-led working file. It never approves a starting material, supplier, specification, filing or batch.</x:v>
      </x:c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 ht="32" customHeight="1">
      <x:c r="A4" s="14" t="str">
        <x:v>Control</x:v>
      </x:c>
      <x:c r="B4" s="14" t="str">
        <x:v>State</x:v>
      </x:c>
      <x:c r="C4" s="14"/>
      <x:c r="D4" s="14"/>
      <x:c r="E4" s="14"/>
      <x:c r="F4" s="14"/>
      <x:c r="G4" s="14"/>
      <x:c r="H4" s="14"/>
    </x:row>
    <x:row r="5" ht="38" customHeight="1">
      <x:c r="A5" s="15" t="str">
        <x:v>Version</x:v>
      </x:c>
      <x:c r="B5" s="15" t="str">
        <x:v>1.0.0-review</x:v>
      </x:c>
      <x:c r="C5" s="15"/>
      <x:c r="D5" s="15"/>
      <x:c r="E5" s="15"/>
      <x:c r="F5" s="15"/>
      <x:c r="G5" s="15"/>
      <x:c r="H5" s="15"/>
    </x:row>
    <x:row r="6" ht="38" customHeight="1">
      <x:c r="A6" s="15" t="str">
        <x:v>Workbook type</x:v>
      </x:c>
      <x:c r="B6" s="15" t="str">
        <x:v>Blank working file</x:v>
      </x:c>
      <x:c r="C6" s="15"/>
      <x:c r="D6" s="15"/>
      <x:c r="E6" s="15"/>
      <x:c r="F6" s="15"/>
      <x:c r="G6" s="15"/>
      <x:c r="H6" s="15"/>
    </x:row>
    <x:row r="7" ht="38" customHeight="1">
      <x:c r="A7" s="15" t="str">
        <x:v>Open actions</x:v>
      </x:c>
      <x:c r="B7" s="15" t="n">
        <x:f>COUNTIF('Review &amp; Actions'!I5:I30,"Open")</x:f>
        <x:v>0</x:v>
      </x:c>
      <x:c r="C7" s="15"/>
      <x:c r="D7" s="15"/>
      <x:c r="E7" s="15"/>
      <x:c r="F7" s="15"/>
      <x:c r="G7" s="15"/>
      <x:c r="H7" s="15"/>
    </x:row>
    <x:row r="8" ht="38" customHeight="1">
      <x:c r="A8" s="15" t="str">
        <x:v>Evidence gaps</x:v>
      </x:c>
      <x:c r="B8" s="15" t="n">
        <x:f>COUNTIF('Evidence Register'!J5:J30,"Evidence required")</x:f>
        <x:v>26</x:v>
      </x:c>
      <x:c r="C8" s="15"/>
      <x:c r="D8" s="15"/>
      <x:c r="E8" s="15"/>
      <x:c r="F8" s="15"/>
      <x:c r="G8" s="15"/>
      <x:c r="H8" s="15"/>
    </x:row>
    <x:row r="9" ht="38" customHeight="1">
      <x:c r="A9" s="15" t="str">
        <x:v>Global state</x:v>
      </x:c>
      <x:c r="B9" s="15" t="str">
        <x:f>IF(B7&gt;0,"Evidence required",IF(B8&gt;0,"Evidence required","Qualified review required"))</x:f>
        <x:v>Evidence required</x:v>
      </x:c>
      <x:c r="C9" s="15"/>
      <x:c r="D9" s="15"/>
      <x:c r="E9" s="15"/>
      <x:c r="F9" s="15"/>
      <x:c r="G9" s="15"/>
      <x:c r="H9" s="15"/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</x:row>
    <x:row r="11" ht="38" customHeight="1">
      <x:c r="A11" s="16" t="str">
        <x:v>Decision boundary: multiple suppliers, a significant structural fragment, a CoA, questionnaire or audit does not alone establish starting-material acceptance. Structural completion can reach only Qualified review required.</x:v>
      </x:c>
      <x:c r="B11" s="16"/>
      <x:c r="C11" s="16"/>
      <x:c r="D11" s="16"/>
      <x:c r="E11" s="16"/>
      <x:c r="F11" s="16"/>
      <x:c r="G11" s="16"/>
      <x:c r="H11" s="16"/>
    </x:row>
    <x:row r="12" ht="38" customHeight="1">
      <x:c r="A12" s="16"/>
      <x:c r="B12" s="16"/>
      <x:c r="C12" s="16"/>
      <x:c r="D12" s="16"/>
      <x:c r="E12" s="16"/>
      <x:c r="F12" s="16"/>
      <x:c r="G12" s="16"/>
      <x:c r="H12" s="16"/>
    </x:row>
  </x:sheetData>
  <x:mergeCells>
    <x:mergeCell ref="A1:H1"/>
    <x:mergeCell ref="A2:H2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11" t="str">
        <x:v>Decision Brief</x:v>
      </x:c>
      <x:c r="B1" s="11"/>
      <x:c r="C1" s="11"/>
      <x:c r="D1" s="11"/>
      <x:c r="E1" s="11"/>
      <x:c r="F1" s="11"/>
      <x:c r="G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 ht="32" customHeight="1">
      <x:c r="A4" s="14" t="str">
        <x:v>Record ID</x:v>
      </x:c>
      <x:c r="B4" s="14" t="str">
        <x:v>Product / route</x:v>
      </x:c>
      <x:c r="C4" s="14" t="str">
        <x:v>Lifecycle / market</x:v>
      </x:c>
      <x:c r="D4" s="14" t="str">
        <x:v>Decision</x:v>
      </x:c>
      <x:c r="E4" s="14" t="str">
        <x:v>Decision owner</x:v>
      </x:c>
      <x:c r="F4" s="14" t="str">
        <x:v>Evidence locator</x:v>
      </x:c>
      <x:c r="G4" s="14" t="str">
        <x:v>Status</x:v>
      </x:c>
    </x:row>
    <x:row r="5" ht="38" customHeight="1">
      <x:c r="A5" s="15"/>
      <x:c r="B5" s="15"/>
      <x:c r="C5" s="15"/>
      <x:c r="D5" s="15"/>
      <x:c r="E5" s="15"/>
      <x:c r="F5" s="15"/>
      <x:c r="G5" s="16"/>
    </x:row>
    <x:row r="6" ht="38" customHeight="1">
      <x:c r="A6" s="15"/>
      <x:c r="B6" s="15"/>
      <x:c r="C6" s="15"/>
      <x:c r="D6" s="15"/>
      <x:c r="E6" s="15"/>
      <x:c r="F6" s="15"/>
      <x:c r="G6" s="16"/>
    </x:row>
    <x:row r="7" ht="38" customHeight="1">
      <x:c r="A7" s="15"/>
      <x:c r="B7" s="15"/>
      <x:c r="C7" s="15"/>
      <x:c r="D7" s="15"/>
      <x:c r="E7" s="15"/>
      <x:c r="F7" s="15"/>
      <x:c r="G7" s="16"/>
    </x:row>
    <x:row r="8" ht="38" customHeight="1">
      <x:c r="A8" s="15"/>
      <x:c r="B8" s="15"/>
      <x:c r="C8" s="15"/>
      <x:c r="D8" s="15"/>
      <x:c r="E8" s="15"/>
      <x:c r="F8" s="15"/>
      <x:c r="G8" s="16"/>
    </x:row>
    <x:row r="9" ht="38" customHeight="1">
      <x:c r="A9" s="15"/>
      <x:c r="B9" s="15"/>
      <x:c r="C9" s="15"/>
      <x:c r="D9" s="15"/>
      <x:c r="E9" s="15"/>
      <x:c r="F9" s="15"/>
      <x:c r="G9" s="16"/>
    </x:row>
    <x:row r="10" ht="38" customHeight="1">
      <x:c r="A10" s="15"/>
      <x:c r="B10" s="15"/>
      <x:c r="C10" s="15"/>
      <x:c r="D10" s="15"/>
      <x:c r="E10" s="15"/>
      <x:c r="F10" s="15"/>
      <x:c r="G10" s="16"/>
    </x:row>
    <x:row r="11" ht="38" customHeight="1">
      <x:c r="A11" s="15"/>
      <x:c r="B11" s="15"/>
      <x:c r="C11" s="15"/>
      <x:c r="D11" s="15"/>
      <x:c r="E11" s="15"/>
      <x:c r="F11" s="15"/>
      <x:c r="G11" s="16"/>
    </x:row>
    <x:row r="12" ht="38" customHeight="1">
      <x:c r="A12" s="15"/>
      <x:c r="B12" s="15"/>
      <x:c r="C12" s="15"/>
      <x:c r="D12" s="15"/>
      <x:c r="E12" s="15"/>
      <x:c r="F12" s="15"/>
      <x:c r="G12" s="16"/>
    </x:row>
    <x:row r="13" ht="38" customHeight="1">
      <x:c r="A13" s="15"/>
      <x:c r="B13" s="15"/>
      <x:c r="C13" s="15"/>
      <x:c r="D13" s="15"/>
      <x:c r="E13" s="15"/>
      <x:c r="F13" s="15"/>
      <x:c r="G13" s="16"/>
    </x:row>
    <x:row r="14" ht="38" customHeight="1">
      <x:c r="A14" s="15"/>
      <x:c r="B14" s="15"/>
      <x:c r="C14" s="15"/>
      <x:c r="D14" s="15"/>
      <x:c r="E14" s="15"/>
      <x:c r="F14" s="15"/>
      <x:c r="G14" s="16"/>
    </x:row>
    <x:row r="15" ht="38" customHeight="1">
      <x:c r="A15" s="15"/>
      <x:c r="B15" s="15"/>
      <x:c r="C15" s="15"/>
      <x:c r="D15" s="15"/>
      <x:c r="E15" s="15"/>
      <x:c r="F15" s="15"/>
      <x:c r="G15" s="16"/>
    </x:row>
    <x:row r="16" ht="38" customHeight="1">
      <x:c r="A16" s="15"/>
      <x:c r="B16" s="15"/>
      <x:c r="C16" s="15"/>
      <x:c r="D16" s="15"/>
      <x:c r="E16" s="15"/>
      <x:c r="F16" s="15"/>
      <x:c r="G16" s="16"/>
    </x:row>
    <x:row r="17" ht="38" customHeight="1">
      <x:c r="A17" s="15"/>
      <x:c r="B17" s="15"/>
      <x:c r="C17" s="15"/>
      <x:c r="D17" s="15"/>
      <x:c r="E17" s="15"/>
      <x:c r="F17" s="15"/>
      <x:c r="G17" s="16"/>
    </x:row>
    <x:row r="18" ht="38" customHeight="1">
      <x:c r="A18" s="15"/>
      <x:c r="B18" s="15"/>
      <x:c r="C18" s="15"/>
      <x:c r="D18" s="15"/>
      <x:c r="E18" s="15"/>
      <x:c r="F18" s="15"/>
      <x:c r="G18" s="16"/>
    </x:row>
    <x:row r="19" ht="38" customHeight="1">
      <x:c r="A19" s="15"/>
      <x:c r="B19" s="15"/>
      <x:c r="C19" s="15"/>
      <x:c r="D19" s="15"/>
      <x:c r="E19" s="15"/>
      <x:c r="F19" s="15"/>
      <x:c r="G19" s="16"/>
    </x:row>
    <x:row r="20" ht="38" customHeight="1">
      <x:c r="A20" s="15"/>
      <x:c r="B20" s="15"/>
      <x:c r="C20" s="15"/>
      <x:c r="D20" s="15"/>
      <x:c r="E20" s="15"/>
      <x:c r="F20" s="15"/>
      <x:c r="G20" s="16"/>
    </x:row>
    <x:row r="21" ht="38" customHeight="1">
      <x:c r="A21" s="15"/>
      <x:c r="B21" s="15"/>
      <x:c r="C21" s="15"/>
      <x:c r="D21" s="15"/>
      <x:c r="E21" s="15"/>
      <x:c r="F21" s="15"/>
      <x:c r="G21" s="16"/>
    </x:row>
    <x:row r="22" ht="38" customHeight="1">
      <x:c r="A22" s="15"/>
      <x:c r="B22" s="15"/>
      <x:c r="C22" s="15"/>
      <x:c r="D22" s="15"/>
      <x:c r="E22" s="15"/>
      <x:c r="F22" s="15"/>
      <x:c r="G22" s="16"/>
    </x:row>
    <x:row r="23" ht="38" customHeight="1">
      <x:c r="A23" s="15"/>
      <x:c r="B23" s="15"/>
      <x:c r="C23" s="15"/>
      <x:c r="D23" s="15"/>
      <x:c r="E23" s="15"/>
      <x:c r="F23" s="15"/>
      <x:c r="G23" s="16"/>
    </x:row>
    <x:row r="24" ht="38" customHeight="1">
      <x:c r="A24" s="15"/>
      <x:c r="B24" s="15"/>
      <x:c r="C24" s="15"/>
      <x:c r="D24" s="15"/>
      <x:c r="E24" s="15"/>
      <x:c r="F24" s="15"/>
      <x:c r="G24" s="16"/>
    </x:row>
    <x:row r="25" ht="38" customHeight="1">
      <x:c r="A25" s="15"/>
      <x:c r="B25" s="15"/>
      <x:c r="C25" s="15"/>
      <x:c r="D25" s="15"/>
      <x:c r="E25" s="15"/>
      <x:c r="F25" s="15"/>
      <x:c r="G25" s="16"/>
    </x:row>
    <x:row r="26" ht="38" customHeight="1">
      <x:c r="A26" s="15"/>
      <x:c r="B26" s="15"/>
      <x:c r="C26" s="15"/>
      <x:c r="D26" s="15"/>
      <x:c r="E26" s="15"/>
      <x:c r="F26" s="15"/>
      <x:c r="G26" s="16"/>
    </x:row>
    <x:row r="27" ht="38" customHeight="1">
      <x:c r="A27" s="15"/>
      <x:c r="B27" s="15"/>
      <x:c r="C27" s="15"/>
      <x:c r="D27" s="15"/>
      <x:c r="E27" s="15"/>
      <x:c r="F27" s="15"/>
      <x:c r="G27" s="16"/>
    </x:row>
    <x:row r="28" ht="38" customHeight="1">
      <x:c r="A28" s="15"/>
      <x:c r="B28" s="15"/>
      <x:c r="C28" s="15"/>
      <x:c r="D28" s="15"/>
      <x:c r="E28" s="15"/>
      <x:c r="F28" s="15"/>
      <x:c r="G28" s="16"/>
    </x:row>
    <x:row r="29" ht="38" customHeight="1">
      <x:c r="A29" s="15"/>
      <x:c r="B29" s="15"/>
      <x:c r="C29" s="15"/>
      <x:c r="D29" s="15"/>
      <x:c r="E29" s="15"/>
      <x:c r="F29" s="15"/>
      <x:c r="G29" s="16"/>
    </x:row>
    <x:row r="30" ht="38" customHeight="1">
      <x:c r="A30" s="15"/>
      <x:c r="B30" s="15"/>
      <x:c r="C30" s="15"/>
      <x:c r="D30" s="15"/>
      <x:c r="E30" s="15"/>
      <x:c r="F30" s="15"/>
      <x:c r="G30" s="1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1" t="str">
        <x:v>Route Boundary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32" customHeight="1">
      <x:c r="A4" s="14" t="str">
        <x:v>Boundary ID</x:v>
      </x:c>
      <x:c r="B4" s="14" t="str">
        <x:v>Proposed material</x:v>
      </x:c>
      <x:c r="C4" s="14" t="str">
        <x:v>Route position</x:v>
      </x:c>
      <x:c r="D4" s="14" t="str">
        <x:v>Structure contribution</x:v>
      </x:c>
      <x:c r="E4" s="14" t="str">
        <x:v>Post-introduction transformations</x:v>
      </x:c>
      <x:c r="F4" s="14" t="str">
        <x:v>Synthesis / impurity knowledge</x:v>
      </x:c>
      <x:c r="G4" s="14" t="str">
        <x:v>Control opportunities</x:v>
      </x:c>
      <x:c r="H4" s="14" t="str">
        <x:v>Evidence locator</x:v>
      </x:c>
      <x:c r="I4" s="14" t="str">
        <x:v>Reviewer role</x:v>
      </x:c>
      <x:c r="J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6" t="str">
        <x:f>IF(COUNTA(A5:I5)&lt;9,"Evidence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6" t="str">
        <x:f>IF(COUNTA(A6:I6)&lt;9,"Evidence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6" t="str">
        <x:f>IF(COUNTA(A7:I7)&lt;9,"Evidence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6" t="str">
        <x:f>IF(COUNTA(A8:I8)&lt;9,"Evidence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6" t="str">
        <x:f>IF(COUNTA(A9:I9)&lt;9,"Evidence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6" t="str">
        <x:f>IF(COUNTA(A10:I10)&lt;9,"Evidence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6" t="str">
        <x:f>IF(COUNTA(A11:I11)&lt;9,"Evidence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6" t="str">
        <x:f>IF(COUNTA(A12:I12)&lt;9,"Evidence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6" t="str">
        <x:f>IF(COUNTA(A13:I13)&lt;9,"Evidence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6" t="str">
        <x:f>IF(COUNTA(A14:I14)&lt;9,"Evidence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6" t="str">
        <x:f>IF(COUNTA(A15:I15)&lt;9,"Evidence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6" t="str">
        <x:f>IF(COUNTA(A16:I16)&lt;9,"Evidence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6" t="str">
        <x:f>IF(COUNTA(A17:I17)&lt;9,"Evidence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6" t="str">
        <x:f>IF(COUNTA(A18:I18)&lt;9,"Evidence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6" t="str">
        <x:f>IF(COUNTA(A19:I19)&lt;9,"Evidence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6" t="str">
        <x:f>IF(COUNTA(A20:I20)&lt;9,"Evidence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6" t="str">
        <x:f>IF(COUNTA(A21:I21)&lt;9,"Evidence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6" t="str">
        <x:f>IF(COUNTA(A22:I22)&lt;9,"Evidence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6" t="str">
        <x:f>IF(COUNTA(A23:I23)&lt;9,"Evidence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6" t="str">
        <x:f>IF(COUNTA(A24:I24)&lt;9,"Evidence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6" t="str">
        <x:f>IF(COUNTA(A25:I25)&lt;9,"Evidence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6" t="str">
        <x:f>IF(COUNTA(A26:I26)&lt;9,"Evidence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6" t="str">
        <x:f>IF(COUNTA(A27:I27)&lt;9,"Evidence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6" t="str">
        <x:f>IF(COUNTA(A28:I28)&lt;9,"Evidence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6" t="str">
        <x:f>IF(COUNTA(A29:I29)&lt;9,"Evidence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6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Material Portfolio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Material ID</x:v>
      </x:c>
      <x:c r="B4" s="14" t="str">
        <x:v>Material / grade</x:v>
      </x:c>
      <x:c r="C4" s="14" t="str">
        <x:v>Role / use</x:v>
      </x:c>
      <x:c r="D4" s="14" t="str">
        <x:v>Actual manufacturer / site</x:v>
      </x:c>
      <x:c r="E4" s="14" t="str">
        <x:v>Relevant attributes</x:v>
      </x:c>
      <x:c r="F4" s="14" t="str">
        <x:v>Known / potential impurities</x:v>
      </x:c>
      <x:c r="G4" s="14" t="str">
        <x:v>Downstream linkage</x:v>
      </x:c>
      <x:c r="H4" s="14" t="str">
        <x:v>Specification basis</x:v>
      </x:c>
      <x:c r="I4" s="14" t="str">
        <x:v>Evidence locator</x:v>
      </x:c>
      <x:c r="J4" s="14" t="str">
        <x:v>Owner</x:v>
      </x:c>
      <x:c r="K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6" t="str">
        <x:f>IF(COUNTA(A5:J5)&lt;10,"Evidence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Supplier Chain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Chain ID</x:v>
      </x:c>
      <x:c r="B4" s="14" t="str">
        <x:v>Material ID</x:v>
      </x:c>
      <x:c r="C4" s="14" t="str">
        <x:v>Commercial party</x:v>
      </x:c>
      <x:c r="D4" s="14" t="str">
        <x:v>Legal manufacturer</x:v>
      </x:c>
      <x:c r="E4" s="14" t="str">
        <x:v>Manufacturing site</x:v>
      </x:c>
      <x:c r="F4" s="14" t="str">
        <x:v>Sub-tier operation</x:v>
      </x:c>
      <x:c r="G4" s="14" t="str">
        <x:v>Qualification evidence</x:v>
      </x:c>
      <x:c r="H4" s="14" t="str">
        <x:v>Quality agreement / change notice</x:v>
      </x:c>
      <x:c r="I4" s="14" t="str">
        <x:v>Evidence locator</x:v>
      </x:c>
      <x:c r="J4" s="14" t="str">
        <x:v>Owner</x:v>
      </x:c>
      <x:c r="K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6" t="str">
        <x:f>IF(COUNTA(A5:J5)&lt;10,"Evidence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Specification Basis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Control ID</x:v>
      </x:c>
      <x:c r="B4" s="14" t="str">
        <x:v>Material ID</x:v>
      </x:c>
      <x:c r="C4" s="14" t="str">
        <x:v>Attribute / impurity</x:v>
      </x:c>
      <x:c r="D4" s="14" t="str">
        <x:v>Risk / decision use</x:v>
      </x:c>
      <x:c r="E4" s="14" t="str">
        <x:v>Proposed control</x:v>
      </x:c>
      <x:c r="F4" s="14" t="str">
        <x:v>Method / version</x:v>
      </x:c>
      <x:c r="G4" s="14" t="str">
        <x:v>Capability / sampling evidence</x:v>
      </x:c>
      <x:c r="H4" s="14" t="str">
        <x:v>Limit basis</x:v>
      </x:c>
      <x:c r="I4" s="14" t="str">
        <x:v>Evidence locator</x:v>
      </x:c>
      <x:c r="J4" s="14" t="str">
        <x:v>Reviewer role</x:v>
      </x:c>
      <x:c r="K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6" t="str">
        <x:f>IF(COUNTA(A5:J5)&lt;10,"Evidence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Impurity Link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Link ID</x:v>
      </x:c>
      <x:c r="B4" s="14" t="str">
        <x:v>Material ID</x:v>
      </x:c>
      <x:c r="C4" s="14" t="str">
        <x:v>Impurity / attribute</x:v>
      </x:c>
      <x:c r="D4" s="14" t="str">
        <x:v>Origin state</x:v>
      </x:c>
      <x:c r="E4" s="14" t="str">
        <x:v>Route stage</x:v>
      </x:c>
      <x:c r="F4" s="14" t="str">
        <x:v>Downstream fate / control hypothesis</x:v>
      </x:c>
      <x:c r="G4" s="14" t="str">
        <x:v>Analytical visibility</x:v>
      </x:c>
      <x:c r="H4" s="14" t="str">
        <x:v>Uncertainty / limitation</x:v>
      </x:c>
      <x:c r="I4" s="14" t="str">
        <x:v>Evidence locator</x:v>
      </x:c>
      <x:c r="J4" s="14" t="str">
        <x:v>Owner</x:v>
      </x:c>
      <x:c r="K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6" t="str">
        <x:f>IF(COUNTA(A5:J5)&lt;10,"Evidence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Incoming Control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Control ID</x:v>
      </x:c>
      <x:c r="B4" s="14" t="str">
        <x:v>Material ID</x:v>
      </x:c>
      <x:c r="C4" s="14" t="str">
        <x:v>Receipt / quarantine</x:v>
      </x:c>
      <x:c r="D4" s="14" t="str">
        <x:v>Identity / sampling</x:v>
      </x:c>
      <x:c r="E4" s="14" t="str">
        <x:v>Testing / CoA verification</x:v>
      </x:c>
      <x:c r="F4" s="14" t="str">
        <x:v>Release / use owner</x:v>
      </x:c>
      <x:c r="G4" s="14" t="str">
        <x:v>Storage / retest</x:v>
      </x:c>
      <x:c r="H4" s="14" t="str">
        <x:v>Reduced-testing status</x:v>
      </x:c>
      <x:c r="I4" s="14" t="str">
        <x:v>Evidence locator</x:v>
      </x:c>
      <x:c r="J4" s="14" t="str">
        <x:v>Reviewer role</x:v>
      </x:c>
      <x:c r="K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6" t="str">
        <x:f>IF(COUNTA(A5:J5)&lt;10,"Evidence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Change Assessment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Change ID</x:v>
      </x:c>
      <x:c r="B4" s="14" t="str">
        <x:v>Material / supplier</x:v>
      </x:c>
      <x:c r="C4" s="14" t="str">
        <x:v>Exact change</x:v>
      </x:c>
      <x:c r="D4" s="14" t="str">
        <x:v>Affected inventory</x:v>
      </x:c>
      <x:c r="E4" s="14" t="str">
        <x:v>Boundary / impurity impact</x:v>
      </x:c>
      <x:c r="F4" s="14" t="str">
        <x:v>Specification / method impact</x:v>
      </x:c>
      <x:c r="G4" s="14" t="str">
        <x:v>Validation / filing question</x:v>
      </x:c>
      <x:c r="H4" s="14" t="str">
        <x:v>Evidence plan</x:v>
      </x:c>
      <x:c r="I4" s="14" t="str">
        <x:v>Owner / due</x:v>
      </x:c>
      <x:c r="J4" s="14" t="str">
        <x:v>Decision state</x:v>
      </x:c>
      <x:c r="K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6" t="str">
        <x:f>IF(COUNTA(A5:J5)&lt;10,"Evidence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1" t="str">
        <x:v>Evidence Register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32" customHeight="1">
      <x:c r="A4" s="14" t="str">
        <x:v>Evidence ID</x:v>
      </x:c>
      <x:c r="B4" s="14" t="str">
        <x:v>Source / record</x:v>
      </x:c>
      <x:c r="C4" s="14" t="str">
        <x:v>Version / date</x:v>
      </x:c>
      <x:c r="D4" s="14" t="str">
        <x:v>Applies to</x:v>
      </x:c>
      <x:c r="E4" s="14" t="str">
        <x:v>Evidence strength</x:v>
      </x:c>
      <x:c r="F4" s="14" t="str">
        <x:v>Locator</x:v>
      </x:c>
      <x:c r="G4" s="14" t="str">
        <x:v>Limitation</x:v>
      </x:c>
      <x:c r="H4" s="14" t="str">
        <x:v>Owner</x:v>
      </x:c>
      <x:c r="I4" s="14" t="str">
        <x:v>Verification state</x:v>
      </x:c>
      <x:c r="J4" s="14" t="str">
        <x:v>Row state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6" t="str">
        <x:f>IF(COUNTA(A5:I5)&lt;9,"Evidence required","Qualified review required")</x:f>
        <x:v>Evidence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6" t="str">
        <x:f>IF(COUNTA(A6:I6)&lt;9,"Evidence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6" t="str">
        <x:f>IF(COUNTA(A7:I7)&lt;9,"Evidence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6" t="str">
        <x:f>IF(COUNTA(A8:I8)&lt;9,"Evidence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6" t="str">
        <x:f>IF(COUNTA(A9:I9)&lt;9,"Evidence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6" t="str">
        <x:f>IF(COUNTA(A10:I10)&lt;9,"Evidence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6" t="str">
        <x:f>IF(COUNTA(A11:I11)&lt;9,"Evidence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6" t="str">
        <x:f>IF(COUNTA(A12:I12)&lt;9,"Evidence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6" t="str">
        <x:f>IF(COUNTA(A13:I13)&lt;9,"Evidence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6" t="str">
        <x:f>IF(COUNTA(A14:I14)&lt;9,"Evidence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6" t="str">
        <x:f>IF(COUNTA(A15:I15)&lt;9,"Evidence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6" t="str">
        <x:f>IF(COUNTA(A16:I16)&lt;9,"Evidence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6" t="str">
        <x:f>IF(COUNTA(A17:I17)&lt;9,"Evidence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6" t="str">
        <x:f>IF(COUNTA(A18:I18)&lt;9,"Evidence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6" t="str">
        <x:f>IF(COUNTA(A19:I19)&lt;9,"Evidence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6" t="str">
        <x:f>IF(COUNTA(A20:I20)&lt;9,"Evidence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6" t="str">
        <x:f>IF(COUNTA(A21:I21)&lt;9,"Evidence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6" t="str">
        <x:f>IF(COUNTA(A22:I22)&lt;9,"Evidence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6" t="str">
        <x:f>IF(COUNTA(A23:I23)&lt;9,"Evidence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6" t="str">
        <x:f>IF(COUNTA(A24:I24)&lt;9,"Evidence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6" t="str">
        <x:f>IF(COUNTA(A25:I25)&lt;9,"Evidence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6" t="str">
        <x:f>IF(COUNTA(A26:I26)&lt;9,"Evidence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6" t="str">
        <x:f>IF(COUNTA(A27:I27)&lt;9,"Evidence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6" t="str">
        <x:f>IF(COUNTA(A28:I28)&lt;9,"Evidence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6" t="str">
        <x:f>IF(COUNTA(A29:I29)&lt;9,"Evidence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6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11" t="str">
        <x:v>Review &amp; Actions</x:v>
      </x:c>
      <x:c r="B1" s="11"/>
      <x:c r="C1" s="11"/>
      <x:c r="D1" s="11"/>
      <x:c r="E1" s="11"/>
      <x:c r="F1" s="11"/>
      <x:c r="G1" s="11"/>
      <x:c r="H1" s="11"/>
      <x:c r="I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 ht="32" customHeight="1">
      <x:c r="A4" s="14" t="str">
        <x:v>Item ID</x:v>
      </x:c>
      <x:c r="B4" s="14" t="str">
        <x:v>Type</x:v>
      </x:c>
      <x:c r="C4" s="14" t="str">
        <x:v>Question / action</x:v>
      </x:c>
      <x:c r="D4" s="14" t="str">
        <x:v>Owner</x:v>
      </x:c>
      <x:c r="E4" s="14" t="str">
        <x:v>Due date</x:v>
      </x:c>
      <x:c r="F4" s="14" t="str">
        <x:v>Evidence / response</x:v>
      </x:c>
      <x:c r="G4" s="14" t="str">
        <x:v>Reviewer role</x:v>
      </x:c>
      <x:c r="H4" s="14" t="str">
        <x:v>Disposition</x:v>
      </x:c>
      <x:c r="I4" s="14" t="str">
        <x:v>Status</x:v>
      </x:c>
    </x:row>
    <x:row r="5" ht="38" customHeight="1">
      <x:c r="A5" s="15"/>
      <x:c r="B5" s="15"/>
      <x:c r="C5" s="15"/>
      <x:c r="D5" s="15"/>
      <x:c r="E5" s="15"/>
      <x:c r="F5" s="15"/>
      <x:c r="G5" s="15"/>
      <x:c r="H5" s="15"/>
      <x:c r="I5" s="16"/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6"/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6"/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6"/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6"/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6"/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6"/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6"/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6"/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6"/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6"/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6"/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6"/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6"/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6"/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6"/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6"/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6"/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6"/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6"/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6"/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6"/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6"/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6"/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6"/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11" t="str">
        <x:v>Sources &amp; Control</x:v>
      </x:c>
      <x:c r="B1" s="11"/>
      <x:c r="C1" s="11"/>
      <x:c r="D1" s="11"/>
      <x:c r="E1" s="11"/>
    </x:row>
    <x:row r="2" ht="34" customHeight="1">
      <x:c r="A2" s="12" t="str">
        <x:v>Official source locators and controlled-use boundaries. Verify current applicability before use.</x:v>
      </x:c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 ht="32" customHeight="1">
      <x:c r="A4" s="14" t="str">
        <x:v>Source ID</x:v>
      </x:c>
      <x:c r="B4" s="14" t="str">
        <x:v>Title / decision use</x:v>
      </x:c>
      <x:c r="C4" s="14" t="str">
        <x:v>Official locator</x:v>
      </x:c>
      <x:c r="D4" s="14" t="str">
        <x:v>Lifecycle / verification</x:v>
      </x:c>
      <x:c r="E4" s="14" t="str">
        <x:v>Boundary / limitation</x:v>
      </x:c>
    </x:row>
    <x:row r="5" ht="38" customHeight="1">
      <x:c r="A5" s="15" t="str">
        <x:v>ICH-Q11</x:v>
      </x:c>
      <x:c r="B5" s="15" t="str">
        <x:v>Development and Manufacture of Drug Substances Q11</x:v>
      </x:c>
      <x:c r="C5" s="15" t="str">
        <x:v>https://database.ich.org/sites/default/files/Q11_Guideline.pdf</x:v>
      </x:c>
      <x:c r="D5" s="15" t="str">
        <x:v>Current / verified 2026-08-09</x:v>
      </x:c>
      <x:c r="E5" s="15" t="str">
        <x:v>No product-specific starting-material acceptance</x:v>
      </x:c>
    </x:row>
    <x:row r="6" ht="38" customHeight="1">
      <x:c r="A6" s="15" t="str">
        <x:v>ICH-Q11-QA</x:v>
      </x:c>
      <x:c r="B6" s="15" t="str">
        <x:v>Q11 Questions and Answers</x:v>
      </x:c>
      <x:c r="C6" s="15" t="str">
        <x:v>https://database.ich.org/sites/default/files/Q11_Q%26As_Q%26As.pdf</x:v>
      </x:c>
      <x:c r="D6" s="15" t="str">
        <x:v>Current / verified 2026-08-09</x:v>
      </x:c>
      <x:c r="E6" s="15" t="str">
        <x:v>Integrated starting-material justification; no single-factor shortcut</x:v>
      </x:c>
    </x:row>
    <x:row r="7" ht="38" customHeight="1">
      <x:c r="A7" s="15" t="str">
        <x:v>ICH-Q7</x:v>
      </x:c>
      <x:c r="B7" s="15" t="str">
        <x:v>GMP Guide for Active Pharmaceutical Ingredients Q7</x:v>
      </x:c>
      <x:c r="C7" s="15" t="str">
        <x:v>https://database.ich.org/sites/default/files/Q7_Guideline.pdf</x:v>
      </x:c>
      <x:c r="D7" s="15" t="str">
        <x:v>Current / verified 2026-08-09</x:v>
      </x:c>
      <x:c r="E7" s="15" t="str">
        <x:v>Confirm regional and operation scope</x:v>
      </x:c>
    </x:row>
    <x:row r="8" ht="38" customHeight="1">
      <x:c r="A8" s="15" t="str">
        <x:v>ICH-Q7-QA</x:v>
      </x:c>
      <x:c r="B8" s="15" t="str">
        <x:v>Q7 Questions and Answers</x:v>
      </x:c>
      <x:c r="C8" s="15" t="str">
        <x:v>https://database.ich.org/sites/default/files/Q7_Q%26As_Q%26As.pdf</x:v>
      </x:c>
      <x:c r="D8" s="15" t="str">
        <x:v>Current / verified 2026-08-09</x:v>
      </x:c>
      <x:c r="E8" s="15" t="str">
        <x:v>No product-specific supplier/material approval</x:v>
      </x:c>
    </x:row>
    <x:row r="9" ht="38" customHeight="1">
      <x:c r="A9" s="15" t="str">
        <x:v>ICH-Q3A-R2</x:v>
      </x:c>
      <x:c r="B9" s="15" t="str">
        <x:v>Impurities in New Drug Substances Q3A(R2)</x:v>
      </x:c>
      <x:c r="C9" s="15" t="str">
        <x:v>https://database.ich.org/sites/default/files/Q3A_R2__Guideline.pdf</x:v>
      </x:c>
      <x:c r="D9" s="15" t="str">
        <x:v>Current / verified</x:v>
      </x:c>
      <x:c r="E9" s="15" t="str">
        <x:v>No universal impurity criteria</x:v>
      </x:c>
    </x:row>
    <x:row r="10" ht="38" customHeight="1">
      <x:c r="A10" s="15" t="str">
        <x:v>ICH-M7-R2</x:v>
      </x:c>
      <x:c r="B10" s="15" t="str">
        <x:v>Assessment and Control of DNA Reactive Impurities M7(R2)</x:v>
      </x:c>
      <x:c r="C10" s="15" t="str">
        <x:v>https://database.ich.org/sites/default/files/ICH_M7%28R2%29_Guideline_Step4_2023_0216_0.pdf</x:v>
      </x:c>
      <x:c r="D10" s="15" t="str">
        <x:v>Current / verified</x:v>
      </x:c>
      <x:c r="E10" s="15" t="str">
        <x:v>No hazard or acceptable-intake conclusion</x:v>
      </x:c>
    </x:row>
    <x:row r="11" ht="38" customHeight="1">
      <x:c r="A11" s="15" t="str">
        <x:v>ICH-Q6A</x:v>
      </x:c>
      <x:c r="B11" s="15" t="str">
        <x:v>Specifications Q6A</x:v>
      </x:c>
      <x:c r="C11" s="15" t="str">
        <x:v>https://database.ich.org/sites/default/files/Q6A%20Guideline.pdf</x:v>
      </x:c>
      <x:c r="D11" s="15" t="str">
        <x:v>Current; revision watch</x:v>
      </x:c>
      <x:c r="E11" s="15" t="str">
        <x:v>No product-specific specification</x:v>
      </x:c>
    </x:row>
    <x:row r="12" ht="38" customHeight="1">
      <x:c r="A12" s="15" t="str">
        <x:v>ICH-Q2-R2 / ICH-Q14</x:v>
      </x:c>
      <x:c r="B12" s="15" t="str">
        <x:v>Analytical validation and procedure development</x:v>
      </x:c>
      <x:c r="C12" s="15" t="str">
        <x:v>https://www.ich.org/page/quality-guidelines</x:v>
      </x:c>
      <x:c r="D12" s="15" t="str">
        <x:v>Current / verified</x:v>
      </x:c>
      <x:c r="E12" s="15" t="str">
        <x:v>No method-suitability conclusion</x:v>
      </x:c>
    </x:row>
    <x:row r="13" ht="38" customHeight="1">
      <x:c r="A13" s="15" t="str">
        <x:v>ICH-Q9-R1 / ICH-Q10</x:v>
      </x:c>
      <x:c r="B13" s="15" t="str">
        <x:v>Risk and pharmaceutical quality system</x:v>
      </x:c>
      <x:c r="C13" s="15" t="str">
        <x:v>https://www.ich.org/page/quality-guidelines</x:v>
      </x:c>
      <x:c r="D13" s="15" t="str">
        <x:v>Current / verified</x:v>
      </x:c>
      <x:c r="E13" s="15" t="str">
        <x:v>Risk score cannot close missing evidence</x:v>
      </x:c>
    </x:row>
    <x:row r="14" ht="38" customHeight="1">
      <x:c r="A14" s="15" t="str">
        <x:v>FDA-QUALITY-AGREEMENTS-2016</x:v>
      </x:c>
      <x:c r="B14" s="15" t="str">
        <x:v>Contract Manufacturing Arrangements: Quality Agreements</x:v>
      </x:c>
      <x:c r="C14" s="15" t="str">
        <x:v>https://www.fda.gov/media/86193/download</x:v>
      </x:c>
      <x:c r="D14" s="15" t="str">
        <x:v>Current / verified 2026-08-09</x:v>
      </x:c>
      <x:c r="E14" s="15" t="str">
        <x:v>Agreement does not transfer owner responsibility</x:v>
      </x:c>
    </x:row>
    <x:row r="15" ht="38" customHeight="1">
      <x:c r="A15" s="15"/>
      <x:c r="B15" s="15"/>
      <x:c r="C15" s="15"/>
      <x:c r="D15" s="15"/>
      <x:c r="E15" s="15"/>
    </x:row>
    <x:row r="16" ht="38" customHeight="1">
      <x:c r="A16" s="15"/>
      <x:c r="B16" s="15"/>
      <x:c r="C16" s="15"/>
      <x:c r="D16" s="15"/>
      <x:c r="E16" s="15"/>
    </x:row>
    <x:row r="17" ht="38" customHeight="1">
      <x:c r="A17" s="15"/>
      <x:c r="B17" s="15"/>
      <x:c r="C17" s="15"/>
      <x:c r="D17" s="15"/>
      <x:c r="E17" s="15"/>
    </x:row>
    <x:row r="18" ht="38" customHeight="1">
      <x:c r="A18" s="15"/>
      <x:c r="B18" s="15"/>
      <x:c r="C18" s="15"/>
      <x:c r="D18" s="15"/>
      <x:c r="E18" s="15"/>
    </x:row>
    <x:row r="19" ht="38" customHeight="1">
      <x:c r="A19" s="15"/>
      <x:c r="B19" s="15"/>
      <x:c r="C19" s="15"/>
      <x:c r="D19" s="15"/>
      <x:c r="E19" s="15"/>
    </x:row>
    <x:row r="20" ht="38" customHeight="1">
      <x:c r="A20" s="15"/>
      <x:c r="B20" s="15"/>
      <x:c r="C20" s="15"/>
      <x:c r="D20" s="15"/>
      <x:c r="E20" s="15"/>
    </x:row>
    <x:row r="21" ht="38" customHeight="1">
      <x:c r="A21" s="15"/>
      <x:c r="B21" s="15"/>
      <x:c r="C21" s="15"/>
      <x:c r="D21" s="15"/>
      <x:c r="E21" s="15"/>
    </x:row>
    <x:row r="22" ht="38" customHeight="1">
      <x:c r="A22" s="15"/>
      <x:c r="B22" s="15"/>
      <x:c r="C22" s="15"/>
      <x:c r="D22" s="15"/>
      <x:c r="E22" s="15"/>
    </x:row>
    <x:row r="23" ht="38" customHeight="1">
      <x:c r="A23" s="15"/>
      <x:c r="B23" s="15"/>
      <x:c r="C23" s="15"/>
      <x:c r="D23" s="15"/>
      <x:c r="E23" s="15"/>
    </x:row>
    <x:row r="24" ht="38" customHeight="1">
      <x:c r="A24" s="15"/>
      <x:c r="B24" s="15"/>
      <x:c r="C24" s="15"/>
      <x:c r="D24" s="15"/>
      <x:c r="E24" s="15"/>
    </x:row>
    <x:row r="25" ht="38" customHeight="1">
      <x:c r="A25" s="15"/>
      <x:c r="B25" s="15"/>
      <x:c r="C25" s="15"/>
      <x:c r="D25" s="15"/>
      <x:c r="E25" s="15"/>
    </x:row>
    <x:row r="26" ht="38" customHeight="1">
      <x:c r="A26" s="15"/>
      <x:c r="B26" s="15"/>
      <x:c r="C26" s="15"/>
      <x:c r="D26" s="15"/>
      <x:c r="E26" s="15"/>
    </x:row>
    <x:row r="27" ht="38" customHeight="1">
      <x:c r="A27" s="15"/>
      <x:c r="B27" s="15"/>
      <x:c r="C27" s="15"/>
      <x:c r="D27" s="15"/>
      <x:c r="E27" s="15"/>
    </x:row>
    <x:row r="28" ht="38" customHeight="1">
      <x:c r="A28" s="15"/>
      <x:c r="B28" s="15"/>
      <x:c r="C28" s="15"/>
      <x:c r="D28" s="15"/>
      <x:c r="E28" s="15"/>
    </x:row>
    <x:row r="29" ht="38" customHeight="1">
      <x:c r="A29" s="15"/>
      <x:c r="B29" s="15"/>
      <x:c r="C29" s="15"/>
      <x:c r="D29" s="15"/>
      <x:c r="E29" s="15"/>
    </x:row>
    <x:row r="30" ht="38" customHeight="1">
      <x:c r="A30" s="15"/>
      <x:c r="B30" s="15"/>
      <x:c r="C30" s="15"/>
      <x:c r="D30" s="15"/>
      <x:c r="E30" s="15"/>
    </x:row>
  </x:sheetData>
  <x:mergeCells>
    <x:mergeCell ref="A1:E1"/>
    <x:mergeCell ref="A2:E2"/>
  </x:mergeCells>
  <x:pageMargins left="0.7" right="0.7" top="0.75" bottom="0.75" header="0.3" footer="0.3"/>
</x:worksheet>
</file>