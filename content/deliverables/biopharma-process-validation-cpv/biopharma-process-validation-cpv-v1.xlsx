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b64e39f5f7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5325695ccb714b24"/>
    <x:sheet xmlns:r="http://schemas.openxmlformats.org/officeDocument/2006/relationships" name="Decision Brief" sheetId="2" r:id="R094cbc7f548e4353"/>
    <x:sheet xmlns:r="http://schemas.openxmlformats.org/officeDocument/2006/relationships" name="Lifecycle Map" sheetId="3" r:id="R8922920281dd44f9"/>
    <x:sheet xmlns:r="http://schemas.openxmlformats.org/officeDocument/2006/relationships" name="Process &amp; Controls" sheetId="4" r:id="R9a3f1df5e1714780"/>
    <x:sheet xmlns:r="http://schemas.openxmlformats.org/officeDocument/2006/relationships" name="Qualification" sheetId="5" r:id="Rc89957016fc049a3"/>
    <x:sheet xmlns:r="http://schemas.openxmlformats.org/officeDocument/2006/relationships" name="PPQ Evidence" sheetId="6" r:id="Rf7ecbfe32d3448be"/>
    <x:sheet xmlns:r="http://schemas.openxmlformats.org/officeDocument/2006/relationships" name="CPV Plan" sheetId="7" r:id="Rb7c2cc9403ed49b1"/>
    <x:sheet xmlns:r="http://schemas.openxmlformats.org/officeDocument/2006/relationships" name="CPV Data" sheetId="8" r:id="R93251afe4eea4af4"/>
    <x:sheet xmlns:r="http://schemas.openxmlformats.org/officeDocument/2006/relationships" name="Signal Assessment" sheetId="9" r:id="Rc28adbaddc7149ff"/>
    <x:sheet xmlns:r="http://schemas.openxmlformats.org/officeDocument/2006/relationships" name="Evidence Register" sheetId="10" r:id="R6575246ba5104405"/>
    <x:sheet xmlns:r="http://schemas.openxmlformats.org/officeDocument/2006/relationships" name="Review &amp; Actions" sheetId="11" r:id="Rb67fd3967eb84904"/>
    <x:sheet xmlns:r="http://schemas.openxmlformats.org/officeDocument/2006/relationships" name="Sources &amp; Control" sheetId="12" r:id="Rdf7f19d3be434c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36174"/>
      <x:name val="Carlito"/>
    </x:font>
    <x:font>
      <x:b/>
      <x:sz val="10"/>
      <x:color rgb="FFFFFFFF"/>
      <x:name val="Carlito"/>
    </x:font>
    <x:font>
      <x:b/>
      <x:sz val="11"/>
      <x:color rgb="FF7B2020"/>
      <x:name val="Carlito"/>
    </x:font>
    <x:font>
      <x:b/>
      <x:sz val="11"/>
      <x:color rgb="FF172033"/>
      <x:name val="Carlito"/>
    </x:font>
    <x:font>
      <x:b/>
      <x:sz val="11"/>
      <x:color rgb="FF7A4A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263F"/>
      </x:patternFill>
    </x:fill>
    <x:fill>
      <x:patternFill patternType="solid">
        <x:fgColor rgb="FFEDF5FA"/>
      </x:patternFill>
    </x:fill>
    <x:fill>
      <x:patternFill patternType="solid">
        <x:fgColor rgb="FF1F5A83"/>
      </x:patternFill>
    </x:fill>
    <x:fill>
      <x:patternFill patternType="solid">
        <x:fgColor rgb="FFFBE8E8"/>
      </x:patternFill>
    </x:fill>
    <x:fill>
      <x:patternFill patternType="solid">
        <x:fgColor rgb="FFFFF1D6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3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3"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8F4EA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8A1C1C"/>
      </x:font>
      <x:fill>
        <x:patternFill patternType="solid">
          <x:bgColor rgb="FFFBE8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398e008e3a45ae" /><Relationship Type="http://schemas.openxmlformats.org/officeDocument/2006/relationships/theme" Target="/xl/theme/theme1.xml" Id="R5a1dc4f08c8f409d" /><Relationship Type="http://schemas.openxmlformats.org/officeDocument/2006/relationships/sharedStrings" Target="/xl/sharedStrings.xml" Id="R0c1cc5c2862b4451" /><Relationship Type="http://schemas.openxmlformats.org/officeDocument/2006/relationships/worksheet" Target="/xl/worksheets/sheet1.xml" Id="R5325695ccb714b24" /><Relationship Type="http://schemas.openxmlformats.org/officeDocument/2006/relationships/worksheet" Target="/xl/worksheets/sheet2.xml" Id="R094cbc7f548e4353" /><Relationship Type="http://schemas.openxmlformats.org/officeDocument/2006/relationships/worksheet" Target="/xl/worksheets/sheet3.xml" Id="R8922920281dd44f9" /><Relationship Type="http://schemas.openxmlformats.org/officeDocument/2006/relationships/worksheet" Target="/xl/worksheets/sheet4.xml" Id="R9a3f1df5e1714780" /><Relationship Type="http://schemas.openxmlformats.org/officeDocument/2006/relationships/worksheet" Target="/xl/worksheets/sheet5.xml" Id="Rc89957016fc049a3" /><Relationship Type="http://schemas.openxmlformats.org/officeDocument/2006/relationships/worksheet" Target="/xl/worksheets/sheet6.xml" Id="Rf7ecbfe32d3448be" /><Relationship Type="http://schemas.openxmlformats.org/officeDocument/2006/relationships/worksheet" Target="/xl/worksheets/sheet7.xml" Id="Rb7c2cc9403ed49b1" /><Relationship Type="http://schemas.openxmlformats.org/officeDocument/2006/relationships/worksheet" Target="/xl/worksheets/sheet8.xml" Id="R93251afe4eea4af4" /><Relationship Type="http://schemas.openxmlformats.org/officeDocument/2006/relationships/worksheet" Target="/xl/worksheets/sheet9.xml" Id="Rc28adbaddc7149ff" /><Relationship Type="http://schemas.openxmlformats.org/officeDocument/2006/relationships/worksheet" Target="/xl/worksheets/sheet10.xml" Id="R6575246ba5104405" /><Relationship Type="http://schemas.openxmlformats.org/officeDocument/2006/relationships/worksheet" Target="/xl/worksheets/sheet11.xml" Id="Rb67fd3967eb84904" /><Relationship Type="http://schemas.openxmlformats.org/officeDocument/2006/relationships/worksheet" Target="/xl/worksheets/sheet12.xml" Id="Rdf7f19d3be434c6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6" hidden="0" customWidth="1"/>
  </x:cols>
  <x:sheetData>
    <x:row r="1" ht="32" customHeight="1">
      <x:c r="A1" s="3" t="str">
        <x:v>Biopharma Process Validation &amp; CPV Evidence Map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Version 1.0.0-review · Blank working file · Under review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1" t="str">
        <x:v>Decision boundary</x:v>
      </x:c>
      <x:c r="B4" s="11"/>
      <x:c r="C4" s="11"/>
      <x:c r="D4" s="11"/>
      <x:c r="E4" s="11"/>
      <x:c r="F4" s="11"/>
      <x:c r="G4" s="11"/>
      <x:c r="H4" s="11"/>
    </x:row>
    <x:row r="5">
      <x:c r="A5" s="15" t="str">
        <x:v>This workbook structures evidence. It does not define a CQA, CPP, range, PPQ design, batch count, sampling plan, statistical method, acceptance criterion, monitoring frequency, validated state, batch disposition or manufacturing authorization. A statistical signal is not automatically a batch failure; a within-specification result does not automatically establish process control.</x:v>
      </x:c>
      <x:c r="B5" s="15"/>
      <x:c r="C5" s="15"/>
      <x:c r="D5" s="15"/>
      <x:c r="E5" s="15"/>
      <x:c r="F5" s="15"/>
      <x:c r="G5" s="15"/>
      <x:c r="H5" s="15"/>
    </x:row>
    <x:row r="6">
      <x:c r="A6" s="15"/>
      <x:c r="B6" s="15"/>
      <x:c r="C6" s="15"/>
      <x:c r="D6" s="15"/>
      <x:c r="E6" s="15"/>
      <x:c r="F6" s="15"/>
      <x:c r="G6" s="15"/>
      <x:c r="H6" s="15"/>
    </x:row>
    <x:row r="7">
      <x:c r="A7" s="15"/>
      <x:c r="B7" s="15"/>
      <x:c r="C7" s="15"/>
      <x:c r="D7" s="15"/>
      <x:c r="E7" s="15"/>
      <x:c r="F7" s="15"/>
      <x:c r="G7" s="15"/>
      <x:c r="H7" s="15"/>
    </x:row>
    <x:row r="9" ht="32" customHeight="1">
      <x:c r="A9" s="11" t="str">
        <x:v>Step</x:v>
      </x:c>
      <x:c r="B9" s="11" t="str">
        <x:v>Required action</x:v>
      </x:c>
    </x:row>
    <x:row r="10" ht="43" customHeight="1">
      <x:c r="A10" s="17" t="n">
        <x:v>1</x:v>
      </x:c>
      <x:c r="B10" s="17" t="str">
        <x:v>Freeze product, process/site/scale/train versions, lifecycle stage, decision and authority.</x:v>
      </x:c>
    </x:row>
    <x:row r="11" ht="43" customHeight="1">
      <x:c r="A11" s="17" t="n">
        <x:v>2</x:v>
      </x:c>
      <x:c r="B11" s="17" t="str">
        <x:v>Trace product-process relationships, direct evidence, platform knowledge, hypotheses and gaps.</x:v>
      </x:c>
    </x:row>
    <x:row r="12" ht="43" customHeight="1">
      <x:c r="A12" s="17" t="n">
        <x:v>3</x:v>
      </x:c>
      <x:c r="B12" s="17" t="str">
        <x:v>Separate facility, utility, equipment, automation/data, method, material and personnel readiness.</x:v>
      </x:c>
    </x:row>
    <x:row r="13" ht="43" customHeight="1">
      <x:c r="A13" s="17" t="n">
        <x:v>4</x:v>
      </x:c>
      <x:c r="B13" s="17" t="str">
        <x:v>Define representative PPQ/process-verification design and evaluation before execution.</x:v>
      </x:c>
    </x:row>
    <x:row r="14" ht="43" customHeight="1">
      <x:c r="A14" s="17" t="n">
        <x:v>5</x:v>
      </x:c>
      <x:c r="B14" s="17" t="str">
        <x:v>Preserve execution, deviations, validation conclusion, authorization and batch disposition separately.</x:v>
      </x:c>
    </x:row>
    <x:row r="15" ht="43" customHeight="1">
      <x:c r="A15" s="17" t="n">
        <x:v>6</x:v>
      </x:c>
      <x:c r="B15" s="17" t="str">
        <x:v>Define every CPV signal, lineage, baseline, stratification, method/version, thresholds and review path.</x:v>
      </x:c>
    </x:row>
    <x:row r="16" ht="43" customHeight="1">
      <x:c r="A16" s="17" t="n">
        <x:v>7</x:v>
      </x:c>
      <x:c r="B16" s="17" t="str">
        <x:v>Assess statistical and specification signals separately with competing hypotheses and product impact.</x:v>
      </x:c>
    </x:row>
    <x:row r="17" ht="43" customHeight="1">
      <x:c r="A17" s="17" t="n">
        <x:v>8</x:v>
      </x:c>
      <x:c r="B17" s="17" t="str">
        <x:v>Control monitoring changes, revalidation, comparability, regulatory and effectiveness decisions.</x:v>
      </x:c>
    </x:row>
    <x:row r="18" ht="43" customHeight="1">
      <x:c r="A18" s="17" t="str">
        <x:v>Analytics</x:v>
      </x:c>
      <x:c r="B18" s="17" t="str">
        <x:v>Do not send confidential product, process, batch, method, supplier or artifact content in Atlas analytics.</x:v>
      </x:c>
    </x:row>
  </x:sheetData>
  <x:mergeCells>
    <x:mergeCell ref="A1:H1"/>
    <x:mergeCell ref="A2:H2"/>
    <x:mergeCell ref="A4:H4"/>
    <x:mergeCell ref="A5:H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2" hidden="0" customWidth="1"/>
    <x:col min="4" max="4" width="30" hidden="0" customWidth="1"/>
    <x:col min="5" max="5" width="28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Freeze one validation or state-of-control decision and read completeness without treating it as approval.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1" t="str">
        <x:v>Field</x:v>
      </x:c>
      <x:c r="B4" s="11" t="str">
        <x:v>Controlled value</x:v>
      </x:c>
      <x:c r="D4" s="19" t="str">
        <x:v>Completeness / review signal</x:v>
      </x:c>
      <x:c r="E4" s="19" t="str">
        <x:v>Value</x:v>
      </x:c>
    </x:row>
    <x:row r="5">
      <x:c r="A5" s="18" t="str">
        <x:v>Product / modality</x:v>
      </x:c>
      <x:c r="B5" t="str"/>
      <x:c r="D5" s="20" t="str">
        <x:v>Incomplete rows</x:v>
      </x:c>
      <x:c r="E5" s="20" t="n">
        <x:f>COUNTIF('Lifecycle Map'!J5:J20,"Incomplete")+COUNTIF('Process &amp; Controls'!J5:J20,"Incomplete")+COUNTIF('Qualification'!J5:J20,"Incomplete")+COUNTIF('PPQ Evidence'!J5:J20,"Incomplete")+COUNTIF('CPV Plan'!J5:J20,"Incomplete")+COUNTIF('Signal Assessment'!J5:J20,"Incomplete")+COUNTIF('Evidence Register'!J5:J20,"Incomplete")+COUNTIF('CPV Data'!N5:N20,"Incomplete")</x:f>
        <x:v>50</x:v>
      </x:c>
    </x:row>
    <x:row r="6">
      <x:c r="A6" s="18" t="str">
        <x:v>Process / version</x:v>
      </x:c>
      <x:c r="B6" t="str"/>
      <x:c r="D6" s="20" t="str">
        <x:v>Evidence-required rows</x:v>
      </x:c>
      <x:c r="E6" s="20" t="n">
        <x:f>COUNTIF('Lifecycle Map'!J5:J20,"Evidence required")+COUNTIF('Process &amp; Controls'!J5:J20,"Evidence required")+COUNTIF('Qualification'!J5:J20,"Evidence required")+COUNTIF('PPQ Evidence'!J5:J20,"Evidence required")+COUNTIF('CPV Plan'!J5:J20,"Evidence required")+COUNTIF('Signal Assessment'!J5:J20,"Evidence required")+COUNTIF('Evidence Register'!J5:J20,"Evidence required")+COUNTIF('CPV Data'!N5:N20,"Evidence required")</x:f>
        <x:v>0</x:v>
      </x:c>
    </x:row>
    <x:row r="7">
      <x:c r="A7" s="18" t="str">
        <x:v>Site / scale / train</x:v>
      </x:c>
      <x:c r="B7" t="str"/>
      <x:c r="D7" s="20" t="str">
        <x:v>Review-required rows</x:v>
      </x:c>
      <x:c r="E7" s="20" t="n">
        <x:f>COUNTIF('Lifecycle Map'!J5:J20,"Review required")+COUNTIF('Process &amp; Controls'!J5:J20,"Review required")+COUNTIF('Qualification'!J5:J20,"Review required")+COUNTIF('PPQ Evidence'!J5:J20,"Review required")+COUNTIF('CPV Plan'!J5:J20,"Review required")+COUNTIF('Signal Assessment'!J5:J20,"Review required")+COUNTIF('Evidence Register'!J5:J20,"Review required")+COUNTIF('CPV Data'!N5:N20,"Review required")</x:f>
        <x:v>0</x:v>
      </x:c>
    </x:row>
    <x:row r="8">
      <x:c r="A8" s="18" t="str">
        <x:v>Lifecycle stage</x:v>
      </x:c>
      <x:c r="B8" t="str"/>
      <x:c r="D8" s="20" t="str">
        <x:v>Statistical signals</x:v>
      </x:c>
      <x:c r="E8" s="20" t="n">
        <x:f>COUNTIF('CPV Data'!K5:K20,"Statistical signal")</x:f>
        <x:v>0</x:v>
      </x:c>
    </x:row>
    <x:row r="9">
      <x:c r="A9" s="18" t="str">
        <x:v>Decision</x:v>
      </x:c>
      <x:c r="B9" t="str"/>
      <x:c r="D9" s="20" t="str">
        <x:v>Open actions</x:v>
      </x:c>
      <x:c r="E9" s="20" t="n">
        <x:f>COUNTIF('Review &amp; Actions'!G5:G20,"Open")</x:f>
        <x:v>0</x:v>
      </x:c>
    </x:row>
    <x:row r="10">
      <x:c r="A10" s="18" t="str">
        <x:v>Markets</x:v>
      </x:c>
      <x:c r="B10" t="str"/>
      <x:c r="D10" s="20" t="str">
        <x:v>Global status</x:v>
      </x:c>
      <x:c r="E10" s="22" t="str">
        <x:f>IF(E5+E6&gt;0,"Evidence required",IF(E7+E9&gt;0,"Qualified review required","Qualified review required"))</x:f>
        <x:v>Evidence required</x:v>
      </x:c>
    </x:row>
    <x:row r="11">
      <x:c r="A11" s="18" t="str">
        <x:v>Decision owner</x:v>
      </x:c>
      <x:c r="B11" t="str"/>
    </x:row>
    <x:row r="12">
      <x:c r="A12" s="18" t="str">
        <x:v>Decision authority</x:v>
      </x:c>
      <x:c r="B12" t="str"/>
    </x:row>
    <x:row r="13">
      <x:c r="A13" s="18" t="str">
        <x:v>Excluded</x:v>
      </x:c>
      <x:c r="B13" t="str"/>
    </x:row>
    <x:row r="14">
      <x:c r="A14" s="18" t="str">
        <x:v>Workbook version</x:v>
      </x:c>
      <x:c r="B14" t="str">
        <x:v>1.0.0-review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Lifecycle Map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Keep process design, qualification, PPQ, routine authorization, CPV and lifecycle change as distinct decisions.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LC-01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>
        <x:f>IF(B5="","Incomplete",IF(G5="","Evidence required",IF(OR(H5="",I5&lt;&gt;"Accepted"),"Review required","Complete")))</x:f>
        <x:v>Incomplete</x:v>
      </x:c>
    </x:row>
    <x:row r="6" ht="64" customHeight="1">
      <x:c r="A6" s="24" t="str">
        <x:v>LC-02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>
        <x:f>IF(B6="","Incomplete",IF(G6="","Evidence required",IF(OR(H6="",I6&lt;&gt;"Accepted"),"Review required","Complete")))</x:f>
        <x:v>Incomplete</x:v>
      </x:c>
    </x:row>
    <x:row r="7" ht="64" customHeight="1">
      <x:c r="A7" s="24" t="str">
        <x:v>LC-03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>
        <x:f>IF(B7="","Incomplete",IF(G7="","Evidence required",IF(OR(H7="",I7&lt;&gt;"Accepted"),"Review required","Complete")))</x:f>
        <x:v>Incomplete</x:v>
      </x:c>
    </x:row>
    <x:row r="8" ht="64" customHeight="1">
      <x:c r="A8" s="24" t="str">
        <x:v>LC-04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>
        <x:f>IF(B8="","Incomplete",IF(G8="","Evidence required",IF(OR(H8="",I8&lt;&gt;"Accepted"),"Review required","Complete")))</x:f>
        <x:v>Incomplete</x:v>
      </x:c>
    </x:row>
    <x:row r="9" ht="64" customHeight="1">
      <x:c r="A9" s="24" t="str">
        <x:v>LC-05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>
        <x:f>IF(B9="","Incomplete",IF(G9="","Evidence required",IF(OR(H9="",I9&lt;&gt;"Accepted"),"Review required","Complete")))</x:f>
        <x:v>Incomplete</x:v>
      </x:c>
    </x:row>
    <x:row r="10" ht="64" customHeight="1">
      <x:c r="A10" s="24" t="str">
        <x:v>LC-06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0" priority="1" operator="containsText" text="Incomplete"/>
    <x:cfRule type="containsText" dxfId="1" priority="2" operator="containsText" text="Evidence required"/>
    <x:cfRule type="containsText" dxfId="2" priority="3" operator="containsText" text="Review required"/>
    <x:cfRule type="containsText" dxfId="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Process &amp; Controls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Trace product-process relationships, evidence strength, controls, uncertainty and knowledge gaps.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PC-01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>
        <x:f>IF(B5="","Incomplete",IF(G5="","Evidence required",IF(OR(H5="",I5&lt;&gt;"Accepted"),"Review required","Complete")))</x:f>
        <x:v>Incomplete</x:v>
      </x:c>
    </x:row>
    <x:row r="6" ht="64" customHeight="1">
      <x:c r="A6" s="24" t="str">
        <x:v>PC-02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>
        <x:f>IF(B6="","Incomplete",IF(G6="","Evidence required",IF(OR(H6="",I6&lt;&gt;"Accepted"),"Review required","Complete")))</x:f>
        <x:v>Incomplete</x:v>
      </x:c>
    </x:row>
    <x:row r="7" ht="64" customHeight="1">
      <x:c r="A7" s="24" t="str">
        <x:v>PC-03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>
        <x:f>IF(B7="","Incomplete",IF(G7="","Evidence required",IF(OR(H7="",I7&lt;&gt;"Accepted"),"Review required","Complete")))</x:f>
        <x:v>Incomplete</x:v>
      </x:c>
    </x:row>
    <x:row r="8" ht="64" customHeight="1">
      <x:c r="A8" s="24" t="str">
        <x:v>PC-04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>
        <x:f>IF(B8="","Incomplete",IF(G8="","Evidence required",IF(OR(H8="",I8&lt;&gt;"Accepted"),"Review required","Complete")))</x:f>
        <x:v>Incomplete</x:v>
      </x:c>
    </x:row>
    <x:row r="9" ht="64" customHeight="1">
      <x:c r="A9" s="24" t="str">
        <x:v>PC-05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>
        <x:f>IF(B9="","Incomplete",IF(G9="","Evidence required",IF(OR(H9="",I9&lt;&gt;"Accepted"),"Review required","Complete")))</x:f>
        <x:v>Incomplete</x:v>
      </x:c>
    </x:row>
    <x:row r="10" ht="64" customHeight="1">
      <x:c r="A10" s="24" t="str">
        <x:v>PC-06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4" priority="1" operator="containsText" text="Incomplete"/>
    <x:cfRule type="containsText" dxfId="5" priority="2" operator="containsText" text="Evidence required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Qualification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Separate facility, utility, equipment, automation/data, method, material and personnel readiness.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QU-01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>
        <x:f>IF(B5="","Incomplete",IF(G5="","Evidence required",IF(OR(H5="",I5&lt;&gt;"Accepted"),"Review required","Complete")))</x:f>
        <x:v>Incomplete</x:v>
      </x:c>
    </x:row>
    <x:row r="6" ht="64" customHeight="1">
      <x:c r="A6" s="24" t="str">
        <x:v>QU-02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>
        <x:f>IF(B6="","Incomplete",IF(G6="","Evidence required",IF(OR(H6="",I6&lt;&gt;"Accepted"),"Review required","Complete")))</x:f>
        <x:v>Incomplete</x:v>
      </x:c>
    </x:row>
    <x:row r="7" ht="64" customHeight="1">
      <x:c r="A7" s="24" t="str">
        <x:v>QU-03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>
        <x:f>IF(B7="","Incomplete",IF(G7="","Evidence required",IF(OR(H7="",I7&lt;&gt;"Accepted"),"Review required","Complete")))</x:f>
        <x:v>Incomplete</x:v>
      </x:c>
    </x:row>
    <x:row r="8" ht="64" customHeight="1">
      <x:c r="A8" s="24" t="str">
        <x:v>QU-04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>
        <x:f>IF(B8="","Incomplete",IF(G8="","Evidence required",IF(OR(H8="",I8&lt;&gt;"Accepted"),"Review required","Complete")))</x:f>
        <x:v>Incomplete</x:v>
      </x:c>
    </x:row>
    <x:row r="9" ht="64" customHeight="1">
      <x:c r="A9" s="24" t="str">
        <x:v>QU-05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>
        <x:f>IF(B9="","Incomplete",IF(G9="","Evidence required",IF(OR(H9="",I9&lt;&gt;"Accepted"),"Review required","Complete")))</x:f>
        <x:v>Incomplete</x:v>
      </x:c>
    </x:row>
    <x:row r="10" ht="64" customHeight="1">
      <x:c r="A10" s="24" t="str">
        <x:v>QU-06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8" priority="1" operator="containsText" text="Incomplete"/>
    <x:cfRule type="containsText" dxfId="9" priority="2" operator="containsText" text="Evidence required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PPQ Evidence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Preserve representativeness, predefined evaluation, execution facts, deviations, conclusion and handoff.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PQ-01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>
        <x:f>IF(B5="","Incomplete",IF(G5="","Evidence required",IF(OR(H5="",I5&lt;&gt;"Accepted"),"Review required","Complete")))</x:f>
        <x:v>Incomplete</x:v>
      </x:c>
    </x:row>
    <x:row r="6" ht="64" customHeight="1">
      <x:c r="A6" s="24" t="str">
        <x:v>PQ-02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>
        <x:f>IF(B6="","Incomplete",IF(G6="","Evidence required",IF(OR(H6="",I6&lt;&gt;"Accepted"),"Review required","Complete")))</x:f>
        <x:v>Incomplete</x:v>
      </x:c>
    </x:row>
    <x:row r="7" ht="64" customHeight="1">
      <x:c r="A7" s="24" t="str">
        <x:v>PQ-03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>
        <x:f>IF(B7="","Incomplete",IF(G7="","Evidence required",IF(OR(H7="",I7&lt;&gt;"Accepted"),"Review required","Complete")))</x:f>
        <x:v>Incomplete</x:v>
      </x:c>
    </x:row>
    <x:row r="8" ht="64" customHeight="1">
      <x:c r="A8" s="24" t="str">
        <x:v>PQ-04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>
        <x:f>IF(B8="","Incomplete",IF(G8="","Evidence required",IF(OR(H8="",I8&lt;&gt;"Accepted"),"Review required","Complete")))</x:f>
        <x:v>Incomplete</x:v>
      </x:c>
    </x:row>
    <x:row r="9" ht="64" customHeight="1">
      <x:c r="A9" s="24" t="str">
        <x:v>PQ-05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>
        <x:f>IF(B9="","Incomplete",IF(G9="","Evidence required",IF(OR(H9="",I9&lt;&gt;"Accepted"),"Review required","Complete")))</x:f>
        <x:v>Incomplete</x:v>
      </x:c>
    </x:row>
    <x:row r="10" ht="64" customHeight="1">
      <x:c r="A10" s="24" t="str">
        <x:v>PQ-06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12" priority="1" operator="containsText" text="Incomplete"/>
    <x:cfRule type="containsText" dxfId="13" priority="2" operator="containsText" text="Evidence required"/>
    <x:cfRule type="containsText" dxfId="14" priority="3" operator="containsText" text="Review required"/>
    <x:cfRule type="containsText" dxfId="15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CPV Plan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Define each signal, data lineage, baseline, method/version, entered threshold, review path and plan control.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CP-01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>
        <x:f>IF(B5="","Incomplete",IF(G5="","Evidence required",IF(OR(H5="",I5&lt;&gt;"Accepted"),"Review required","Complete")))</x:f>
        <x:v>Incomplete</x:v>
      </x:c>
    </x:row>
    <x:row r="6" ht="64" customHeight="1">
      <x:c r="A6" s="24" t="str">
        <x:v>CP-02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>
        <x:f>IF(B6="","Incomplete",IF(G6="","Evidence required",IF(OR(H6="",I6&lt;&gt;"Accepted"),"Review required","Complete")))</x:f>
        <x:v>Incomplete</x:v>
      </x:c>
    </x:row>
    <x:row r="7" ht="64" customHeight="1">
      <x:c r="A7" s="24" t="str">
        <x:v>CP-03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>
        <x:f>IF(B7="","Incomplete",IF(G7="","Evidence required",IF(OR(H7="",I7&lt;&gt;"Accepted"),"Review required","Complete")))</x:f>
        <x:v>Incomplete</x:v>
      </x:c>
    </x:row>
    <x:row r="8" ht="64" customHeight="1">
      <x:c r="A8" s="24" t="str">
        <x:v>CP-04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>
        <x:f>IF(B8="","Incomplete",IF(G8="","Evidence required",IF(OR(H8="",I8&lt;&gt;"Accepted"),"Review required","Complete")))</x:f>
        <x:v>Incomplete</x:v>
      </x:c>
    </x:row>
    <x:row r="9" ht="64" customHeight="1">
      <x:c r="A9" s="24" t="str">
        <x:v>CP-05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>
        <x:f>IF(B9="","Incomplete",IF(G9="","Evidence required",IF(OR(H9="",I9&lt;&gt;"Accepted"),"Review required","Complete")))</x:f>
        <x:v>Incomplete</x:v>
      </x:c>
    </x:row>
    <x:row r="10" ht="64" customHeight="1">
      <x:c r="A10" s="24" t="str">
        <x:v>CP-06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16" priority="1" operator="containsText" text="Incomplete"/>
    <x:cfRule type="containsText" dxfId="17" priority="2" operator="containsText" text="Evidence required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7" hidden="0" customWidth="1"/>
    <x:col min="3" max="3" width="14" hidden="0" customWidth="1"/>
    <x:col min="4" max="4" width="14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7" hidden="0" customWidth="1"/>
    <x:col min="11" max="11" width="23" hidden="0" customWidth="1"/>
    <x:col min="12" max="12" width="26" hidden="0" customWidth="1"/>
    <x:col min="13" max="13" width="19" hidden="0" customWidth="1"/>
    <x:col min="14" max="14" width="20" hidden="0" customWidth="1"/>
  </x:cols>
  <x:sheetData>
    <x:row r="1" ht="32" customHeight="1">
      <x:c r="A1" s="3" t="str">
        <x:v>CPV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0" customHeight="1">
      <x:c r="A2" s="7" t="str">
        <x:v>Fictional demonstration only: entered thresholds are never inferred as reusable limits; signals do not decide batch disposition.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2" customHeight="1">
      <x:c r="A4" s="19" t="str">
        <x:v>Record ID</x:v>
      </x:c>
      <x:c r="B4" s="19" t="str">
        <x:v>Batch / run</x:v>
      </x:c>
      <x:c r="C4" s="19" t="str">
        <x:v>Date</x:v>
      </x:c>
      <x:c r="D4" s="19" t="str">
        <x:v>Signal ID</x:v>
      </x:c>
      <x:c r="E4" s="19" t="str">
        <x:v>Result</x:v>
      </x:c>
      <x:c r="F4" s="19" t="str">
        <x:v>Stat lower</x:v>
      </x:c>
      <x:c r="G4" s="19" t="str">
        <x:v>Stat upper</x:v>
      </x:c>
      <x:c r="H4" s="19" t="str">
        <x:v>Spec lower</x:v>
      </x:c>
      <x:c r="I4" s="19" t="str">
        <x:v>Spec upper</x:v>
      </x:c>
      <x:c r="J4" s="19" t="str">
        <x:v>Threshold source / version</x:v>
      </x:c>
      <x:c r="K4" s="19" t="str">
        <x:v>Statistical flag</x:v>
      </x:c>
      <x:c r="L4" s="19" t="str">
        <x:v>Specification flag</x:v>
      </x:c>
      <x:c r="M4" s="19" t="str">
        <x:v>Review state</x:v>
      </x:c>
      <x:c r="N4" s="19" t="str">
        <x:v>Status</x:v>
      </x:c>
    </x:row>
    <x:row r="5" ht="53" customHeight="1">
      <x:c r="A5" s="24" t="str">
        <x:v>CPV-001</x:v>
      </x:c>
      <x:c r="B5" s="24" t="str"/>
      <x:c r="C5" s="31"/>
      <x:c r="D5" s="24" t="str"/>
      <x:c r="E5" s="32"/>
      <x:c r="F5" s="32"/>
      <x:c r="G5" s="32"/>
      <x:c r="H5" s="32"/>
      <x:c r="I5" s="32"/>
      <x:c r="J5" s="24" t="str"/>
      <x:c r="K5" s="24" t="str">
        <x:f>IF(OR(B5="",D5="",E5="",F5="",G5=""),"Evidence required",IF(OR(E5&lt;F5,E5&gt;G5),"Statistical signal","No threshold signal"))</x:f>
        <x:v>Evidence required</x:v>
      </x:c>
      <x:c r="L5" s="24" t="str">
        <x:f>IF(OR(B5="",D5="",E5="",H5="",I5=""),"Evidence required",IF(OR(E5&lt;H5,E5&gt;I5),"Out of specification","Within entered specification"))</x:f>
        <x:v>Evidence required</x:v>
      </x:c>
      <x:c r="M5" s="24" t="str">
        <x:v>Not started</x:v>
      </x:c>
      <x:c r="N5" s="24" t="str">
        <x:f>IF(B5="","Incomplete",IF(OR(J5="",K5="Evidence required",L5="Evidence required"),"Evidence required",IF(M5&lt;&gt;"Accepted","Review required","Complete")))</x:f>
        <x:v>Incomplete</x:v>
      </x:c>
    </x:row>
    <x:row r="6" ht="53" customHeight="1">
      <x:c r="A6" s="24" t="str">
        <x:v>CPV-002</x:v>
      </x:c>
      <x:c r="B6" s="24" t="str"/>
      <x:c r="C6" s="31"/>
      <x:c r="D6" s="24" t="str"/>
      <x:c r="E6" s="32"/>
      <x:c r="F6" s="32"/>
      <x:c r="G6" s="32"/>
      <x:c r="H6" s="32"/>
      <x:c r="I6" s="32"/>
      <x:c r="J6" s="24" t="str"/>
      <x:c r="K6" s="24" t="str">
        <x:f>IF(OR(B6="",D6="",E6="",F6="",G6=""),"Evidence required",IF(OR(E6&lt;F6,E6&gt;G6),"Statistical signal","No threshold signal"))</x:f>
        <x:v>Evidence required</x:v>
      </x:c>
      <x:c r="L6" s="24" t="str">
        <x:f>IF(OR(B6="",D6="",E6="",H6="",I6=""),"Evidence required",IF(OR(E6&lt;H6,E6&gt;I6),"Out of specification","Within entered specification"))</x:f>
        <x:v>Evidence required</x:v>
      </x:c>
      <x:c r="M6" s="24" t="str">
        <x:v>Not started</x:v>
      </x:c>
      <x:c r="N6" s="24" t="str">
        <x:f>IF(B6="","Incomplete",IF(OR(J6="",K6="Evidence required",L6="Evidence required"),"Evidence required",IF(M6&lt;&gt;"Accepted","Review required","Complete")))</x:f>
        <x:v>Incomplete</x:v>
      </x:c>
    </x:row>
    <x:row r="7" ht="53" customHeight="1">
      <x:c r="A7" s="24" t="str">
        <x:v>CPV-003</x:v>
      </x:c>
      <x:c r="B7" s="24" t="str"/>
      <x:c r="C7" s="31"/>
      <x:c r="D7" s="24" t="str"/>
      <x:c r="E7" s="32"/>
      <x:c r="F7" s="32"/>
      <x:c r="G7" s="32"/>
      <x:c r="H7" s="32"/>
      <x:c r="I7" s="32"/>
      <x:c r="J7" s="24" t="str"/>
      <x:c r="K7" s="24" t="str">
        <x:f>IF(OR(B7="",D7="",E7="",F7="",G7=""),"Evidence required",IF(OR(E7&lt;F7,E7&gt;G7),"Statistical signal","No threshold signal"))</x:f>
        <x:v>Evidence required</x:v>
      </x:c>
      <x:c r="L7" s="24" t="str">
        <x:f>IF(OR(B7="",D7="",E7="",H7="",I7=""),"Evidence required",IF(OR(E7&lt;H7,E7&gt;I7),"Out of specification","Within entered specification"))</x:f>
        <x:v>Evidence required</x:v>
      </x:c>
      <x:c r="M7" s="24" t="str">
        <x:v>Not started</x:v>
      </x:c>
      <x:c r="N7" s="24" t="str">
        <x:f>IF(B7="","Incomplete",IF(OR(J7="",K7="Evidence required",L7="Evidence required"),"Evidence required",IF(M7&lt;&gt;"Accepted","Review required","Complete")))</x:f>
        <x:v>Incomplete</x:v>
      </x:c>
    </x:row>
    <x:row r="8" ht="53" customHeight="1">
      <x:c r="A8" s="24" t="str">
        <x:v>CPV-004</x:v>
      </x:c>
      <x:c r="B8" s="24" t="str"/>
      <x:c r="C8" s="31"/>
      <x:c r="D8" s="24" t="str"/>
      <x:c r="E8" s="32"/>
      <x:c r="F8" s="32"/>
      <x:c r="G8" s="32"/>
      <x:c r="H8" s="32"/>
      <x:c r="I8" s="32"/>
      <x:c r="J8" s="24" t="str"/>
      <x:c r="K8" s="24" t="str">
        <x:f>IF(OR(B8="",D8="",E8="",F8="",G8=""),"Evidence required",IF(OR(E8&lt;F8,E8&gt;G8),"Statistical signal","No threshold signal"))</x:f>
        <x:v>Evidence required</x:v>
      </x:c>
      <x:c r="L8" s="24" t="str">
        <x:f>IF(OR(B8="",D8="",E8="",H8="",I8=""),"Evidence required",IF(OR(E8&lt;H8,E8&gt;I8),"Out of specification","Within entered specification"))</x:f>
        <x:v>Evidence required</x:v>
      </x:c>
      <x:c r="M8" s="24" t="str">
        <x:v>Not started</x:v>
      </x:c>
      <x:c r="N8" s="24" t="str">
        <x:f>IF(B8="","Incomplete",IF(OR(J8="",K8="Evidence required",L8="Evidence required"),"Evidence required",IF(M8&lt;&gt;"Accepted","Review required","Complete")))</x:f>
        <x:v>Incomplete</x:v>
      </x:c>
    </x:row>
    <x:row r="9" ht="53" customHeight="1">
      <x:c r="A9" s="24" t="str">
        <x:v>CPV-005</x:v>
      </x:c>
      <x:c r="B9" s="24" t="str"/>
      <x:c r="C9" s="31"/>
      <x:c r="D9" s="24" t="str"/>
      <x:c r="E9" s="32"/>
      <x:c r="F9" s="32"/>
      <x:c r="G9" s="32"/>
      <x:c r="H9" s="32"/>
      <x:c r="I9" s="32"/>
      <x:c r="J9" s="24" t="str"/>
      <x:c r="K9" s="24" t="str">
        <x:f>IF(OR(B9="",D9="",E9="",F9="",G9=""),"Evidence required",IF(OR(E9&lt;F9,E9&gt;G9),"Statistical signal","No threshold signal"))</x:f>
        <x:v>Evidence required</x:v>
      </x:c>
      <x:c r="L9" s="24" t="str">
        <x:f>IF(OR(B9="",D9="",E9="",H9="",I9=""),"Evidence required",IF(OR(E9&lt;H9,E9&gt;I9),"Out of specification","Within entered specification"))</x:f>
        <x:v>Evidence required</x:v>
      </x:c>
      <x:c r="M9" s="24" t="str">
        <x:v>Not started</x:v>
      </x:c>
      <x:c r="N9" s="24" t="str">
        <x:f>IF(B9="","Incomplete",IF(OR(J9="",K9="Evidence required",L9="Evidence required"),"Evidence required",IF(M9&lt;&gt;"Accepted","Review required","Complete")))</x:f>
        <x:v>Incomplete</x:v>
      </x:c>
    </x:row>
    <x:row r="10" ht="53" customHeight="1">
      <x:c r="A10" s="24" t="str">
        <x:v>CPV-006</x:v>
      </x:c>
      <x:c r="B10" s="24" t="str"/>
      <x:c r="C10" s="31"/>
      <x:c r="D10" s="24" t="str"/>
      <x:c r="E10" s="32"/>
      <x:c r="F10" s="32"/>
      <x:c r="G10" s="32"/>
      <x:c r="H10" s="32"/>
      <x:c r="I10" s="32"/>
      <x:c r="J10" s="24" t="str"/>
      <x:c r="K10" s="24" t="str">
        <x:f>IF(OR(B10="",D10="",E10="",F10="",G10=""),"Evidence required",IF(OR(E10&lt;F10,E10&gt;G10),"Statistical signal","No threshold signal"))</x:f>
        <x:v>Evidence required</x:v>
      </x:c>
      <x:c r="L10" s="24" t="str">
        <x:f>IF(OR(B10="",D10="",E10="",H10="",I10=""),"Evidence required",IF(OR(E10&lt;H10,E10&gt;I10),"Out of specification","Within entered specification"))</x:f>
        <x:v>Evidence required</x:v>
      </x:c>
      <x:c r="M10" s="24" t="str">
        <x:v>Not started</x:v>
      </x:c>
      <x:c r="N10" s="24" t="str">
        <x:f>IF(B10="","Incomplete",IF(OR(J10="",K10="Evidence required",L10="Evidence required"),"Evidence required",IF(M10&lt;&gt;"Accepted","Review required","Complete")))</x:f>
        <x:v>Incomplete</x:v>
      </x:c>
    </x:row>
  </x:sheetData>
  <x:mergeCells>
    <x:mergeCell ref="A1:N1"/>
    <x:mergeCell ref="A2:N2"/>
  </x:mergeCells>
  <x:conditionalFormatting sqref="K5:N10">
    <x:cfRule type="containsText" dxfId="28" priority="1" operator="containsText" text="Evidence required"/>
  </x:conditionalFormatting>
  <x:conditionalFormatting sqref="K5:K10">
    <x:cfRule type="containsText" dxfId="29" priority="2" operator="containsText" text="Statistical signal"/>
  </x:conditionalFormatting>
  <x:conditionalFormatting sqref="L5:L10">
    <x:cfRule type="containsText" dxfId="30" priority="3" operator="containsText" text="Out of specification"/>
  </x:conditionalFormatting>
  <x:conditionalFormatting sqref="N5:N10">
    <x:cfRule type="containsText" dxfId="31" priority="4" operator="containsText" text="Review required"/>
  </x:conditionalFormatting>
  <x:dataValidations count="1">
    <x:dataValidation type="list" sqref="M5:M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Signal Assessment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Separate statistical signal, specification status, integrity, hypotheses, product impact and disposition.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SA-01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>
        <x:f>IF(B5="","Incomplete",IF(G5="","Evidence required",IF(OR(H5="",I5&lt;&gt;"Accepted"),"Review required","Complete")))</x:f>
        <x:v>Incomplete</x:v>
      </x:c>
    </x:row>
    <x:row r="6" ht="64" customHeight="1">
      <x:c r="A6" s="24" t="str">
        <x:v>SA-02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>
        <x:f>IF(B6="","Incomplete",IF(G6="","Evidence required",IF(OR(H6="",I6&lt;&gt;"Accepted"),"Review required","Complete")))</x:f>
        <x:v>Incomplete</x:v>
      </x:c>
    </x:row>
    <x:row r="7" ht="64" customHeight="1">
      <x:c r="A7" s="24" t="str">
        <x:v>SA-03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>
        <x:f>IF(B7="","Incomplete",IF(G7="","Evidence required",IF(OR(H7="",I7&lt;&gt;"Accepted"),"Review required","Complete")))</x:f>
        <x:v>Incomplete</x:v>
      </x:c>
    </x:row>
    <x:row r="8" ht="64" customHeight="1">
      <x:c r="A8" s="24" t="str">
        <x:v>SA-04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>
        <x:f>IF(B8="","Incomplete",IF(G8="","Evidence required",IF(OR(H8="",I8&lt;&gt;"Accepted"),"Review required","Complete")))</x:f>
        <x:v>Incomplete</x:v>
      </x:c>
    </x:row>
    <x:row r="9" ht="64" customHeight="1">
      <x:c r="A9" s="24" t="str">
        <x:v>SA-05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>
        <x:f>IF(B9="","Incomplete",IF(G9="","Evidence required",IF(OR(H9="",I9&lt;&gt;"Accepted"),"Review required","Complete")))</x:f>
        <x:v>Incomplete</x:v>
      </x:c>
    </x:row>
    <x:row r="10" ht="64" customHeight="1">
      <x:c r="A10" s="24" t="str">
        <x:v>SA-06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>
        <x:f>IF(B10="","Incomplete",IF(G10="","Evidence required",IF(OR(H10="",I10&lt;&gt;"Accepted"),"Review required","Complete")))</x:f>
        <x:v>Incomplete</x:v>
      </x:c>
    </x:row>
  </x:sheetData>
  <x:mergeCells>
    <x:mergeCell ref="A1:J1"/>
    <x:mergeCell ref="A2:J2"/>
  </x:mergeCells>
  <x:conditionalFormatting sqref="J5:J10">
    <x:cfRule type="containsText" dxfId="20" priority="1" operator="containsText" text="Incomplete"/>
    <x:cfRule type="containsText" dxfId="21" priority="2" operator="containsText" text="Evidence required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10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35" hidden="0" customWidth="1"/>
    <x:col min="4" max="4" width="42" hidden="0" customWidth="1"/>
    <x:col min="5" max="5" width="43" hidden="0" customWidth="1"/>
    <x:col min="6" max="6" width="23" hidden="0" customWidth="1"/>
    <x:col min="7" max="7" width="16" hidden="0" customWidth="1"/>
    <x:col min="8" max="8" width="33" hidden="0" customWidth="1"/>
    <x:col min="9" max="9" width="19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Every evidence object needs a controlled ID, version, locator, limitation, owner and reviewer state.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9" t="str">
        <x:v>ID</x:v>
      </x:c>
      <x:c r="B4" s="19" t="str">
        <x:v>Object / question</x:v>
      </x:c>
      <x:c r="C4" s="19" t="str">
        <x:v>Scope / version</x:v>
      </x:c>
      <x:c r="D4" s="19" t="str">
        <x:v>Evidence held</x:v>
      </x:c>
      <x:c r="E4" s="19" t="str">
        <x:v>Gap / impact</x:v>
      </x:c>
      <x:c r="F4" s="19" t="str">
        <x:v>Owner</x:v>
      </x:c>
      <x:c r="G4" s="19" t="str">
        <x:v>Evidence ID</x:v>
      </x:c>
      <x:c r="H4" s="19" t="str">
        <x:v>Reviewer role</x:v>
      </x:c>
      <x:c r="I4" s="19" t="str">
        <x:v>Review state</x:v>
      </x:c>
      <x:c r="J4" s="19" t="str">
        <x:v>Status</x:v>
      </x:c>
    </x:row>
    <x:row r="5" ht="64" customHeight="1">
      <x:c r="A5" s="24" t="str">
        <x:v>EV-01</x:v>
      </x:c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>
        <x:f>IF(B5="","Incomplete",IF(G5="","Evidence required",IF(OR(H5="",I5&lt;&gt;"Accepted"),"Review required","Complete")))</x:f>
        <x:v>Incomplete</x:v>
      </x:c>
    </x:row>
    <x:row r="6" ht="64" customHeight="1">
      <x:c r="A6" s="24" t="str">
        <x:v>EV-02</x:v>
      </x:c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>
        <x:f>IF(B6="","Incomplete",IF(G6="","Evidence required",IF(OR(H6="",I6&lt;&gt;"Accepted"),"Review required","Complete")))</x:f>
        <x:v>Incomplete</x:v>
      </x:c>
    </x:row>
    <x:row r="7" ht="64" customHeight="1">
      <x:c r="A7" s="24" t="str">
        <x:v>EV-03</x:v>
      </x:c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>
        <x:f>IF(B7="","Incomplete",IF(G7="","Evidence required",IF(OR(H7="",I7&lt;&gt;"Accepted"),"Review required","Complete")))</x:f>
        <x:v>Incomplete</x:v>
      </x:c>
    </x:row>
    <x:row r="8" ht="64" customHeight="1">
      <x:c r="A8" s="24" t="str">
        <x:v>EV-04</x:v>
      </x:c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>
        <x:f>IF(B8="","Incomplete",IF(G8="","Evidence required",IF(OR(H8="",I8&lt;&gt;"Accepted"),"Review required","Complete")))</x:f>
        <x:v>Incomplete</x:v>
      </x:c>
    </x:row>
    <x:row r="9" ht="64" customHeight="1">
      <x:c r="A9" s="24" t="str">
        <x:v>EV-05</x:v>
      </x:c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>
        <x:f>IF(B9="","Incomplete",IF(G9="","Evidence required",IF(OR(H9="",I9&lt;&gt;"Accepted"),"Review required","Complete")))</x:f>
        <x:v>Incomplete</x:v>
      </x:c>
    </x:row>
    <x:row r="10" ht="64" customHeight="1">
      <x:c r="A10" s="24" t="str">
        <x:v>EV-06</x:v>
      </x:c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>
        <x:f>IF(B10="","Incomplete",IF(G10="","Evidence required",IF(OR(H10="",I10&lt;&gt;"Accepted"),"Review required","Complete")))</x:f>
        <x:v>Incomplete</x:v>
      </x:c>
    </x:row>
    <x:row r="11" ht="64" customHeight="1">
      <x:c r="A11" s="24" t="str">
        <x:v>EV-07</x:v>
      </x:c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>
        <x:f>IF(B11="","Incomplete",IF(G11="","Evidence required",IF(OR(H11="",I11&lt;&gt;"Accepted"),"Review required","Complete")))</x:f>
        <x:v>Incomplete</x:v>
      </x:c>
    </x:row>
    <x:row r="12" ht="64" customHeight="1">
      <x:c r="A12" s="24" t="str">
        <x:v>EV-08</x:v>
      </x:c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>
        <x:f>IF(B12="","Incomplete",IF(G12="","Evidence required",IF(OR(H12="",I12&lt;&gt;"Accepted"),"Review required","Complete")))</x:f>
        <x:v>Incomplete</x:v>
      </x:c>
    </x:row>
  </x:sheetData>
  <x:mergeCells>
    <x:mergeCell ref="A1:J1"/>
    <x:mergeCell ref="A2:J2"/>
  </x:mergeCells>
  <x:conditionalFormatting sqref="J5:J12">
    <x:cfRule type="containsText" dxfId="24" priority="1" operator="containsText" text="Incomplete"/>
    <x:cfRule type="containsText" dxfId="25" priority="2" operator="containsText" text="Evidence required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2">
      <x:formula1>"Not started,In progress,Pending review,Accepted,Rejected,Deferred"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35" hidden="0" customWidth="1"/>
    <x:col min="4" max="4" width="38" hidden="0" customWidth="1"/>
    <x:col min="5" max="5" width="14" hidden="0" customWidth="1"/>
    <x:col min="6" max="6" width="26" hidden="0" customWidth="1"/>
    <x:col min="7" max="7" width="18" hidden="0" customWidth="1"/>
    <x:col min="8" max="8" width="48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An action closes only with controlled evidence and an authorized decision.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19" t="str">
        <x:v>Action ID</x:v>
      </x:c>
      <x:c r="B4" s="19" t="str">
        <x:v>Action / decision</x:v>
      </x:c>
      <x:c r="C4" s="19" t="str">
        <x:v>Linked IDs</x:v>
      </x:c>
      <x:c r="D4" s="19" t="str">
        <x:v>Owner / reviewer</x:v>
      </x:c>
      <x:c r="E4" s="19" t="str">
        <x:v>Risk</x:v>
      </x:c>
      <x:c r="F4" s="19" t="str">
        <x:v>Due gate</x:v>
      </x:c>
      <x:c r="G4" s="19" t="str">
        <x:v>Status</x:v>
      </x:c>
      <x:c r="H4" s="19" t="str">
        <x:v>Closure evidence / acceptance</x:v>
      </x:c>
    </x:row>
    <x:row r="5" ht="61" customHeight="1">
      <x:c r="A5" s="24" t="str">
        <x:v>ACT-01</x:v>
      </x:c>
      <x:c r="B5" s="24" t="str"/>
      <x:c r="C5" s="24" t="str"/>
      <x:c r="D5" s="24" t="str"/>
      <x:c r="E5" s="24" t="str"/>
      <x:c r="F5" s="24" t="str"/>
      <x:c r="G5" s="24" t="str">
        <x:v>Not started</x:v>
      </x:c>
      <x:c r="H5" s="24" t="str"/>
    </x:row>
    <x:row r="6" ht="61" customHeight="1">
      <x:c r="A6" s="24" t="str">
        <x:v>ACT-02</x:v>
      </x:c>
      <x:c r="B6" s="24" t="str"/>
      <x:c r="C6" s="24" t="str"/>
      <x:c r="D6" s="24" t="str"/>
      <x:c r="E6" s="24" t="str"/>
      <x:c r="F6" s="24" t="str"/>
      <x:c r="G6" s="24" t="str">
        <x:v>Not started</x:v>
      </x:c>
      <x:c r="H6" s="24" t="str"/>
    </x:row>
    <x:row r="7" ht="61" customHeight="1">
      <x:c r="A7" s="24" t="str">
        <x:v>ACT-03</x:v>
      </x:c>
      <x:c r="B7" s="24" t="str"/>
      <x:c r="C7" s="24" t="str"/>
      <x:c r="D7" s="24" t="str"/>
      <x:c r="E7" s="24" t="str"/>
      <x:c r="F7" s="24" t="str"/>
      <x:c r="G7" s="24" t="str">
        <x:v>Not started</x:v>
      </x:c>
      <x:c r="H7" s="24" t="str"/>
    </x:row>
    <x:row r="8" ht="61" customHeight="1">
      <x:c r="A8" s="24" t="str">
        <x:v>ACT-04</x:v>
      </x:c>
      <x:c r="B8" s="24" t="str"/>
      <x:c r="C8" s="24" t="str"/>
      <x:c r="D8" s="24" t="str"/>
      <x:c r="E8" s="24" t="str"/>
      <x:c r="F8" s="24" t="str"/>
      <x:c r="G8" s="24" t="str">
        <x:v>Not started</x:v>
      </x:c>
      <x:c r="H8" s="24" t="str"/>
    </x:row>
    <x:row r="9" ht="61" customHeight="1">
      <x:c r="A9" s="24" t="str">
        <x:v>ACT-05</x:v>
      </x:c>
      <x:c r="B9" s="24" t="str"/>
      <x:c r="C9" s="24" t="str"/>
      <x:c r="D9" s="24" t="str"/>
      <x:c r="E9" s="24" t="str"/>
      <x:c r="F9" s="24" t="str"/>
      <x:c r="G9" s="24" t="str">
        <x:v>Not started</x:v>
      </x:c>
      <x:c r="H9" s="24" t="str"/>
    </x:row>
  </x:sheetData>
  <x:mergeCells>
    <x:mergeCell ref="A1:H1"/>
    <x:mergeCell ref="A2:H2"/>
  </x:mergeCells>
  <x:conditionalFormatting sqref="G5:G9">
    <x:cfRule type="containsText" dxfId="32" priority="1" operator="containsText" text="Open"/>
  </x:conditionalFormatting>
  <x:dataValidations count="2">
    <x:dataValidation type="list" sqref="E5:E9">
      <x:formula1>"Low,Medium,High,Critical"</x:formula1>
    </x:dataValidation>
    <x:dataValidation type="list" sqref="G5:G9">
      <x:formula1>"Not started,Open,Closed,Deferred"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4" hidden="0" customWidth="1"/>
    <x:col min="3" max="3" width="51" hidden="0" customWidth="1"/>
    <x:col min="4" max="4" width="30" hidden="0" customWidth="1"/>
    <x:col min="5" max="5" width="62" hidden="0" customWidth="1"/>
    <x:col min="6" max="6" width="64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0" customHeight="1">
      <x:c r="A2" s="7" t="str">
        <x:v>Official-source locators, applicability, limitations and review record for this under-review package.</x:v>
      </x:c>
      <x:c r="B2" s="7"/>
      <x:c r="C2" s="7"/>
      <x:c r="D2" s="7"/>
      <x:c r="E2" s="7"/>
      <x:c r="F2" s="7"/>
    </x:row>
    <x:row r="4" ht="32" customHeight="1">
      <x:c r="A4" s="19" t="str">
        <x:v>Source ID</x:v>
      </x:c>
      <x:c r="B4" s="19" t="str">
        <x:v>Publisher</x:v>
      </x:c>
      <x:c r="C4" s="19" t="str">
        <x:v>Title</x:v>
      </x:c>
      <x:c r="D4" s="19" t="str">
        <x:v>Edition</x:v>
      </x:c>
      <x:c r="E4" s="19" t="str">
        <x:v>Official URL</x:v>
      </x:c>
      <x:c r="F4" s="19" t="str">
        <x:v>Applicability and limitations</x:v>
      </x:c>
    </x:row>
    <x:row r="5" ht="52" customHeight="1">
      <x:c r="A5" s="24" t="str">
        <x:v>FDA-PROCESS-VALIDATION-2011</x:v>
      </x:c>
      <x:c r="B5" s="24" t="str">
        <x:v>FDA</x:v>
      </x:c>
      <x:c r="C5" s="24" t="str">
        <x:v>Process Validation: General Principles and Practices</x:v>
      </x:c>
      <x:c r="D5" s="24" t="str">
        <x:v>Final guidance, January 2011</x:v>
      </x:c>
      <x:c r="E5" s="24" t="str">
        <x:v>https://www.fda.gov/regulatory-information/search-fda-guidance-documents/process-validation-general-principles-and-practices</x:v>
      </x:c>
      <x:c r="F5" s="24" t="str">
        <x:v>US nonbinding guidance; no universal batch count, sampling design, statistical method or signal rule.</x:v>
      </x:c>
    </x:row>
    <x:row r="6" ht="52" customHeight="1">
      <x:c r="A6" s="24" t="str">
        <x:v>EMA-BIOLOGICS-PROCESS-VALIDATION-2016</x:v>
      </x:c>
      <x:c r="B6" s="24" t="str">
        <x:v>EMA</x:v>
      </x:c>
      <x:c r="C6" s="24" t="str">
        <x:v>Process validation for biotechnology-derived active substances</x:v>
      </x:c>
      <x:c r="D6" s="24" t="str">
        <x:v>EMA/CHMP/BWP/187338/2014; effective 2016-11-01</x:v>
      </x:c>
      <x:c r="E6" s="24" t="str">
        <x:v>https://www.ema.europa.eu/en/documents/scientific-guideline/guideline-process-validation-manufacture-biotechnology-derived-active-substances-and-data-be-provided-regulatory-submission_en.pdf</x:v>
      </x:c>
      <x:c r="F6" s="24" t="str">
        <x:v>Confirm biotechnology-derived protein active-substance and EU regulatory applicability.</x:v>
      </x:c>
    </x:row>
    <x:row r="7" ht="52" customHeight="1">
      <x:c r="A7" s="24" t="str">
        <x:v>EU-GMP-ANNEX15-2015</x:v>
      </x:c>
      <x:c r="B7" s="24" t="str">
        <x:v>European Commission</x:v>
      </x:c>
      <x:c r="C7" s="24" t="str">
        <x:v>EudraLex Volume 4 Annex 15: Qualification and Validation</x:v>
      </x:c>
      <x:c r="D7" s="24" t="str">
        <x:v>Revision effective 2015-10-01</x:v>
      </x:c>
      <x:c r="E7" s="24" t="str">
        <x:v>https://health.ec.europa.eu/document/download/7c6c5b3c-4902-46ea-b7ab-7608682fb68d_en?filename=2015-10_annex15.pdf</x:v>
      </x:c>
      <x:c r="F7" s="24" t="str">
        <x:v>Confirm current EU GMP status and site applicability; suggested stages do not define a universal protocol.</x:v>
      </x:c>
    </x:row>
    <x:row r="8" ht="52" customHeight="1">
      <x:c r="A8" s="24" t="str">
        <x:v>ICH-Q8-R2</x:v>
      </x:c>
      <x:c r="B8" s="24" t="str">
        <x:v>ICH</x:v>
      </x:c>
      <x:c r="C8" s="24" t="str">
        <x:v>Pharmaceutical Development Q8(R2)</x:v>
      </x:c>
      <x:c r="D8" s="24" t="str">
        <x:v>Step 4</x:v>
      </x:c>
      <x:c r="E8" s="24" t="str">
        <x:v>https://database.ich.org/sites/default/files/Q8%28R2%29%20Guideline.pdf</x:v>
      </x:c>
      <x:c r="F8" s="24" t="str">
        <x:v>No product-specific CQA, parameter, range, design space or control strategy is supplied.</x:v>
      </x:c>
    </x:row>
    <x:row r="9" ht="52" customHeight="1">
      <x:c r="A9" s="24" t="str">
        <x:v>ICH-Q11</x:v>
      </x:c>
      <x:c r="B9" s="24" t="str">
        <x:v>ICH</x:v>
      </x:c>
      <x:c r="C9" s="24" t="str">
        <x:v>Development and Manufacture of Drug Substances Q11</x:v>
      </x:c>
      <x:c r="D9" s="24" t="str">
        <x:v>Step 4</x:v>
      </x:c>
      <x:c r="E9" s="24" t="str">
        <x:v>https://database.ich.org/sites/default/files/Q11_Guideline.pdf</x:v>
      </x:c>
      <x:c r="F9" s="24" t="str">
        <x:v>Retain drug-substance, biotechnology/biological and regional implementation boundaries.</x:v>
      </x:c>
    </x:row>
    <x:row r="10" ht="52" customHeight="1">
      <x:c r="A10" s="24" t="str">
        <x:v>ICH-Q9-R1</x:v>
      </x:c>
      <x:c r="B10" s="24" t="str">
        <x:v>ICH</x:v>
      </x:c>
      <x:c r="C10" s="24" t="str">
        <x:v>Quality Risk Management Q9(R1)</x:v>
      </x:c>
      <x:c r="D10" s="24" t="str">
        <x:v>Step 4</x:v>
      </x:c>
      <x:c r="E10" s="24" t="str">
        <x:v>https://database.ich.org/sites/default/files/ICH_Q9-R1_Guideline_Step4_2022_1219.pdf</x:v>
      </x:c>
      <x:c r="F10" s="24" t="str">
        <x:v>Risk ranking cannot create missing evidence or authorize validation or disposition.</x:v>
      </x:c>
    </x:row>
    <x:row r="11" ht="52" customHeight="1">
      <x:c r="A11" s="24" t="str">
        <x:v>ICH-Q10</x:v>
      </x:c>
      <x:c r="B11" s="24" t="str">
        <x:v>ICH</x:v>
      </x:c>
      <x:c r="C11" s="24" t="str">
        <x:v>Pharmaceutical Quality System Q10</x:v>
      </x:c>
      <x:c r="D11" s="24" t="str">
        <x:v>Step 4</x:v>
      </x:c>
      <x:c r="E11" s="24" t="str">
        <x:v>https://database.ich.org/sites/default/files/Q10_Guideline.pdf</x:v>
      </x:c>
      <x:c r="F11" s="24" t="str">
        <x:v>PQS completion does not prove process performance or approve a batch.</x:v>
      </x:c>
    </x:row>
    <x:row r="12" ht="52" customHeight="1">
      <x:c r="A12" s="24" t="str">
        <x:v>ICH-Q5E</x:v>
      </x:c>
      <x:c r="B12" s="24" t="str">
        <x:v>ICH</x:v>
      </x:c>
      <x:c r="C12" s="24" t="str">
        <x:v>Comparability of Biotechnological/Biological Products Q5E</x:v>
      </x:c>
      <x:c r="D12" s="24" t="str">
        <x:v>Step 4</x:v>
      </x:c>
      <x:c r="E12" s="24" t="str">
        <x:v>https://database.ich.org/sites/default/files/Q5E%20Guideline.pdf</x:v>
      </x:c>
      <x:c r="F12" s="24" t="str">
        <x:v>Validation and comparability answer related but different questions.</x:v>
      </x:c>
    </x:row>
    <x:row r="13" ht="52" customHeight="1">
      <x:c r="A13" s="24" t="str">
        <x:v>ICH-Q6B</x:v>
      </x:c>
      <x:c r="B13" s="24" t="str">
        <x:v>ICH</x:v>
      </x:c>
      <x:c r="C13" s="24" t="str">
        <x:v>Specifications for Biotechnological/Biological Products Q6B</x:v>
      </x:c>
      <x:c r="D13" s="24" t="str">
        <x:v>Step 4</x:v>
      </x:c>
      <x:c r="E13" s="24" t="str">
        <x:v>https://database.ich.org/sites/default/files/Q6B_Guideline.pdf</x:v>
      </x:c>
      <x:c r="F13" s="24" t="str">
        <x:v>Specification conformance does not replace characterization or process-state assessment.</x:v>
      </x:c>
    </x:row>
    <x:row r="14" ht="52" customHeight="1">
      <x:c r="A14" s="17"/>
      <x:c r="B14" s="17"/>
      <x:c r="C14" s="17"/>
      <x:c r="D14" s="17"/>
      <x:c r="E14" s="17"/>
      <x:c r="F14" s="17"/>
    </x:row>
    <x:row r="15" ht="52" customHeight="1">
      <x:c r="A15" s="33" t="str">
        <x:v>Control field</x:v>
      </x:c>
      <x:c r="B15" s="33" t="str">
        <x:v>Value</x:v>
      </x:c>
      <x:c r="C15" s="17"/>
      <x:c r="D15" s="17"/>
      <x:c r="E15" s="17"/>
      <x:c r="F15" s="17"/>
    </x:row>
    <x:row r="16" ht="52" customHeight="1">
      <x:c r="A16" s="24" t="str">
        <x:v>Content version</x:v>
      </x:c>
      <x:c r="B16" s="24" t="str">
        <x:v>1.0.0-review</x:v>
      </x:c>
      <x:c r="C16" s="17"/>
      <x:c r="D16" s="17"/>
      <x:c r="E16" s="17"/>
      <x:c r="F16" s="17"/>
    </x:row>
    <x:row r="17" ht="52" customHeight="1">
      <x:c r="A17" s="24" t="str">
        <x:v>Review status</x:v>
      </x:c>
      <x:c r="B17" s="24" t="str">
        <x:v>under-review</x:v>
      </x:c>
      <x:c r="C17" s="17"/>
      <x:c r="D17" s="17"/>
      <x:c r="E17" s="17"/>
      <x:c r="F17" s="17"/>
    </x:row>
    <x:row r="18" ht="52" customHeight="1">
      <x:c r="A18" s="24" t="str">
        <x:v>Reviewed by role</x:v>
      </x:c>
      <x:c r="B18" s="24" t="str">
        <x:v>Not yet recorded</x:v>
      </x:c>
      <x:c r="C18" s="17"/>
      <x:c r="D18" s="17"/>
      <x:c r="E18" s="17"/>
      <x:c r="F18" s="17"/>
    </x:row>
    <x:row r="19" ht="52" customHeight="1">
      <x:c r="A19" s="24" t="str">
        <x:v>Last reviewed</x:v>
      </x:c>
      <x:c r="B19" s="24" t="str">
        <x:v>Not yet recorded</x:v>
      </x:c>
      <x:c r="C19" s="17"/>
      <x:c r="D19" s="17"/>
      <x:c r="E19" s="17"/>
      <x:c r="F19" s="17"/>
    </x:row>
    <x:row r="20" ht="52" customHeight="1">
      <x:c r="A20" s="24" t="str">
        <x:v>Review due</x:v>
      </x:c>
      <x:c r="B20" s="24" t="str">
        <x:v>Before controlled use or after product/process/site/source change</x:v>
      </x:c>
      <x:c r="C20" s="17"/>
      <x:c r="D20" s="17"/>
      <x:c r="E20" s="17"/>
      <x:c r="F20" s="17"/>
    </x:row>
    <x:row r="21" ht="52" customHeight="1">
      <x:c r="A21" s="24" t="str">
        <x:v>Decision boundary</x:v>
      </x:c>
      <x:c r="B21" s="24" t="str">
        <x:v>Workbook completeness is not validation approval, routine authorization, regulatory acceptance or batch disposition.</x:v>
      </x:c>
      <x:c r="C21" s="17"/>
      <x:c r="D21" s="17"/>
      <x:c r="E21" s="17"/>
      <x:c r="F21" s="17"/>
    </x:row>
    <x:row r="22" ht="52" customHeight="1">
      <x:c r="A22" s="24" t="str">
        <x:v>Critical limitation</x:v>
      </x:c>
      <x:c r="B22" s="24" t="str">
        <x:v>A statistical signal is not automatically a batch failure.</x:v>
      </x:c>
      <x:c r="C22" s="17"/>
      <x:c r="D22" s="17"/>
      <x:c r="E22" s="17"/>
      <x:c r="F22" s="17"/>
    </x:row>
    <x:row r="23" ht="52" customHeight="1">
      <x:c r="A23" s="24" t="str">
        <x:v>Critical limitation</x:v>
      </x:c>
      <x:c r="B23" s="24" t="str">
        <x:v>A within-specification result does not automatically establish a maintained state of control.</x:v>
      </x:c>
      <x:c r="C23" s="17"/>
      <x:c r="D23" s="17"/>
      <x:c r="E23" s="17"/>
      <x:c r="F23" s="17"/>
    </x:row>
    <x:row r="24" ht="52" customHeight="1">
      <x:c r="A24" s="24" t="str">
        <x:v>Fictional-data boundary</x:v>
      </x:c>
      <x:c r="B24" s="24" t="str">
        <x:v>Normalized values and entered thresholds are demonstration data, not platform knowledge or reusable limits.</x:v>
      </x:c>
      <x:c r="C24" s="17"/>
      <x:c r="D24" s="17"/>
      <x:c r="E24" s="17"/>
      <x:c r="F24" s="17"/>
    </x:row>
  </x:sheetData>
  <x:mergeCells>
    <x:mergeCell ref="A1:F1"/>
    <x:mergeCell ref="A2:F2"/>
  </x:mergeCells>
  <x:pageMargins left="0.7" right="0.7" top="0.75" bottom="0.75" header="0.3" footer="0.3"/>
</x:worksheet>
</file>