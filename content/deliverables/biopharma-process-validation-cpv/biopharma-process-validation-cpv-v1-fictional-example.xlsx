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f5cdda83c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e353b6444acc4f60"/>
    <x:sheet xmlns:r="http://schemas.openxmlformats.org/officeDocument/2006/relationships" name="Decision Brief" sheetId="2" r:id="R78a2a511b3cf47d4"/>
    <x:sheet xmlns:r="http://schemas.openxmlformats.org/officeDocument/2006/relationships" name="Lifecycle Map" sheetId="3" r:id="R0588964fc47240b5"/>
    <x:sheet xmlns:r="http://schemas.openxmlformats.org/officeDocument/2006/relationships" name="Process &amp; Controls" sheetId="4" r:id="R7f7194542389428f"/>
    <x:sheet xmlns:r="http://schemas.openxmlformats.org/officeDocument/2006/relationships" name="Qualification" sheetId="5" r:id="R1046a4fea9d646a7"/>
    <x:sheet xmlns:r="http://schemas.openxmlformats.org/officeDocument/2006/relationships" name="PPQ Evidence" sheetId="6" r:id="Rded3ce1f684340f0"/>
    <x:sheet xmlns:r="http://schemas.openxmlformats.org/officeDocument/2006/relationships" name="CPV Plan" sheetId="7" r:id="R4f1a95ae9f424ccf"/>
    <x:sheet xmlns:r="http://schemas.openxmlformats.org/officeDocument/2006/relationships" name="CPV Data" sheetId="8" r:id="R069b0d06618d4470"/>
    <x:sheet xmlns:r="http://schemas.openxmlformats.org/officeDocument/2006/relationships" name="Signal Assessment" sheetId="9" r:id="R78064c1a95e64248"/>
    <x:sheet xmlns:r="http://schemas.openxmlformats.org/officeDocument/2006/relationships" name="Evidence Register" sheetId="10" r:id="R84c53437f9cb4b0b"/>
    <x:sheet xmlns:r="http://schemas.openxmlformats.org/officeDocument/2006/relationships" name="Review &amp; Actions" sheetId="11" r:id="Rf25e371c5f5e4dcf"/>
    <x:sheet xmlns:r="http://schemas.openxmlformats.org/officeDocument/2006/relationships" name="Sources &amp; Control" sheetId="12" r:id="Ra1feb442b350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36174"/>
      <x:name val="Carlito"/>
    </x:font>
    <x:font>
      <x:b/>
      <x:sz val="10"/>
      <x:color rgb="FFFFFFFF"/>
      <x:name val="Carlito"/>
    </x:font>
    <x:font>
      <x:b/>
      <x:sz val="11"/>
      <x:color rgb="FF7B2020"/>
      <x:name val="Carlito"/>
    </x:font>
    <x:font>
      <x:b/>
      <x:sz val="11"/>
      <x:color rgb="FF172033"/>
      <x:name val="Carlito"/>
    </x:font>
    <x:font>
      <x:b/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63F"/>
      </x:patternFill>
    </x:fill>
    <x:fill>
      <x:patternFill patternType="solid">
        <x:fgColor rgb="FFEDF5FA"/>
      </x:patternFill>
    </x:fill>
    <x:fill>
      <x:patternFill patternType="solid">
        <x:fgColor rgb="FF1F5A83"/>
      </x:patternFill>
    </x:fill>
    <x:fill>
      <x:patternFill patternType="solid">
        <x:fgColor rgb="FFFBE8E8"/>
      </x:patternFill>
    </x:fill>
    <x:fill>
      <x:patternFill patternType="solid">
        <x:fgColor rgb="FFFFF1D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19d5caa7c4a6c" /><Relationship Type="http://schemas.openxmlformats.org/officeDocument/2006/relationships/theme" Target="/xl/theme/theme1.xml" Id="R3f7191590f824a9f" /><Relationship Type="http://schemas.openxmlformats.org/officeDocument/2006/relationships/sharedStrings" Target="/xl/sharedStrings.xml" Id="Rf8e53298e7d04149" /><Relationship Type="http://schemas.openxmlformats.org/officeDocument/2006/relationships/worksheet" Target="/xl/worksheets/sheet1.xml" Id="Re353b6444acc4f60" /><Relationship Type="http://schemas.openxmlformats.org/officeDocument/2006/relationships/worksheet" Target="/xl/worksheets/sheet2.xml" Id="R78a2a511b3cf47d4" /><Relationship Type="http://schemas.openxmlformats.org/officeDocument/2006/relationships/worksheet" Target="/xl/worksheets/sheet3.xml" Id="R0588964fc47240b5" /><Relationship Type="http://schemas.openxmlformats.org/officeDocument/2006/relationships/worksheet" Target="/xl/worksheets/sheet4.xml" Id="R7f7194542389428f" /><Relationship Type="http://schemas.openxmlformats.org/officeDocument/2006/relationships/worksheet" Target="/xl/worksheets/sheet5.xml" Id="R1046a4fea9d646a7" /><Relationship Type="http://schemas.openxmlformats.org/officeDocument/2006/relationships/worksheet" Target="/xl/worksheets/sheet6.xml" Id="Rded3ce1f684340f0" /><Relationship Type="http://schemas.openxmlformats.org/officeDocument/2006/relationships/worksheet" Target="/xl/worksheets/sheet7.xml" Id="R4f1a95ae9f424ccf" /><Relationship Type="http://schemas.openxmlformats.org/officeDocument/2006/relationships/worksheet" Target="/xl/worksheets/sheet8.xml" Id="R069b0d06618d4470" /><Relationship Type="http://schemas.openxmlformats.org/officeDocument/2006/relationships/worksheet" Target="/xl/worksheets/sheet9.xml" Id="R78064c1a95e64248" /><Relationship Type="http://schemas.openxmlformats.org/officeDocument/2006/relationships/worksheet" Target="/xl/worksheets/sheet10.xml" Id="R84c53437f9cb4b0b" /><Relationship Type="http://schemas.openxmlformats.org/officeDocument/2006/relationships/worksheet" Target="/xl/worksheets/sheet11.xml" Id="Rf25e371c5f5e4dcf" /><Relationship Type="http://schemas.openxmlformats.org/officeDocument/2006/relationships/worksheet" Target="/xl/worksheets/sheet12.xml" Id="Ra1feb442b35047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3" t="str">
        <x:v>Biopharma Process Validation &amp; CPV Evidence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Version 1.0.0-review · Fictional completed example · Under review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1" t="str">
        <x:v>Decision boundary</x:v>
      </x:c>
      <x:c r="B4" s="11"/>
      <x:c r="C4" s="11"/>
      <x:c r="D4" s="11"/>
      <x:c r="E4" s="11"/>
      <x:c r="F4" s="11"/>
      <x:c r="G4" s="11"/>
      <x:c r="H4" s="11"/>
    </x:row>
    <x:row r="5">
      <x:c r="A5" s="15" t="str">
        <x:v>This workbook structures evidence. It does not define a CQA, CPP, range, PPQ design, batch count, sampling plan, statistical method, acceptance criterion, monitoring frequency, validated state, batch disposition or manufacturing authorization. A statistical signal is not automatically a batch failure; a within-specification result does not automatically establish process control.</x:v>
      </x:c>
      <x:c r="B5" s="15"/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9" ht="32" customHeight="1">
      <x:c r="A9" s="11" t="str">
        <x:v>Step</x:v>
      </x:c>
      <x:c r="B9" s="11" t="str">
        <x:v>Required action</x:v>
      </x:c>
    </x:row>
    <x:row r="10" ht="43" customHeight="1">
      <x:c r="A10" s="17" t="n">
        <x:v>1</x:v>
      </x:c>
      <x:c r="B10" s="17" t="str">
        <x:v>Freeze product, process/site/scale/train versions, lifecycle stage, decision and authority.</x:v>
      </x:c>
    </x:row>
    <x:row r="11" ht="43" customHeight="1">
      <x:c r="A11" s="17" t="n">
        <x:v>2</x:v>
      </x:c>
      <x:c r="B11" s="17" t="str">
        <x:v>Trace product-process relationships, direct evidence, platform knowledge, hypotheses and gaps.</x:v>
      </x:c>
    </x:row>
    <x:row r="12" ht="43" customHeight="1">
      <x:c r="A12" s="17" t="n">
        <x:v>3</x:v>
      </x:c>
      <x:c r="B12" s="17" t="str">
        <x:v>Separate facility, utility, equipment, automation/data, method, material and personnel readiness.</x:v>
      </x:c>
    </x:row>
    <x:row r="13" ht="43" customHeight="1">
      <x:c r="A13" s="17" t="n">
        <x:v>4</x:v>
      </x:c>
      <x:c r="B13" s="17" t="str">
        <x:v>Define representative PPQ/process-verification design and evaluation before execution.</x:v>
      </x:c>
    </x:row>
    <x:row r="14" ht="43" customHeight="1">
      <x:c r="A14" s="17" t="n">
        <x:v>5</x:v>
      </x:c>
      <x:c r="B14" s="17" t="str">
        <x:v>Preserve execution, deviations, validation conclusion, authorization and batch disposition separately.</x:v>
      </x:c>
    </x:row>
    <x:row r="15" ht="43" customHeight="1">
      <x:c r="A15" s="17" t="n">
        <x:v>6</x:v>
      </x:c>
      <x:c r="B15" s="17" t="str">
        <x:v>Define every CPV signal, lineage, baseline, stratification, method/version, thresholds and review path.</x:v>
      </x:c>
    </x:row>
    <x:row r="16" ht="43" customHeight="1">
      <x:c r="A16" s="17" t="n">
        <x:v>7</x:v>
      </x:c>
      <x:c r="B16" s="17" t="str">
        <x:v>Assess statistical and specification signals separately with competing hypotheses and product impact.</x:v>
      </x:c>
    </x:row>
    <x:row r="17" ht="43" customHeight="1">
      <x:c r="A17" s="17" t="n">
        <x:v>8</x:v>
      </x:c>
      <x:c r="B17" s="17" t="str">
        <x:v>Control monitoring changes, revalidation, comparability, regulatory and effectiveness decisions.</x:v>
      </x:c>
    </x:row>
    <x:row r="18" ht="43" customHeight="1">
      <x:c r="A18" s="17" t="str">
        <x:v>Analytics</x:v>
      </x:c>
      <x:c r="B18" s="17" t="str">
        <x:v>Do not send confidential product, process, batch, method, supplier or artifact content in Atlas analytics.</x:v>
      </x:c>
    </x:row>
  </x:sheetData>
  <x:mergeCells>
    <x:mergeCell ref="A1:H1"/>
    <x:mergeCell ref="A2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4" max="4" width="30" hidden="0" customWidth="1"/>
    <x:col min="5" max="5" width="28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Freeze one validation or state-of-control decision and read completeness without treating it as approval.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1" t="str">
        <x:v>Field</x:v>
      </x:c>
      <x:c r="B4" s="11" t="str">
        <x:v>Controlled value</x:v>
      </x:c>
      <x:c r="D4" s="19" t="str">
        <x:v>Completeness / review signal</x:v>
      </x:c>
      <x:c r="E4" s="19" t="str">
        <x:v>Value</x:v>
      </x:c>
    </x:row>
    <x:row r="5">
      <x:c r="A5" s="18" t="str">
        <x:v>Product / modality</x:v>
      </x:c>
      <x:c r="B5" t="str">
        <x:v>Fictional CHO monoclonal-antibody drug substance</x:v>
      </x:c>
      <x:c r="D5" s="20" t="str">
        <x:v>Incomplete rows</x:v>
      </x:c>
      <x:c r="E5" s="20" t="n">
        <x:f>COUNTIF('Lifecycle Map'!J5:J20,"Incomplete")+COUNTIF('Process &amp; Controls'!J5:J20,"Incomplete")+COUNTIF('Qualification'!J5:J20,"Incomplete")+COUNTIF('PPQ Evidence'!J5:J20,"Incomplete")+COUNTIF('CPV Plan'!J5:J20,"Incomplete")+COUNTIF('Signal Assessment'!J5:J20,"Incomplete")+COUNTIF('Evidence Register'!J5:J20,"Incomplete")+COUNTIF('CPV Data'!N5:N20,"Incomplete")</x:f>
        <x:v>0</x:v>
      </x:c>
    </x:row>
    <x:row r="6">
      <x:c r="A6" s="18" t="str">
        <x:v>Process / version</x:v>
      </x:c>
      <x:c r="B6" t="str">
        <x:v>Fictional upstream/downstream process PV-F01</x:v>
      </x:c>
      <x:c r="D6" s="20" t="str">
        <x:v>Evidence-required rows</x:v>
      </x:c>
      <x:c r="E6" s="20" t="n">
        <x:f>COUNTIF('Lifecycle Map'!J5:J20,"Evidence required")+COUNTIF('Process &amp; Controls'!J5:J20,"Evidence required")+COUNTIF('Qualification'!J5:J20,"Evidence required")+COUNTIF('PPQ Evidence'!J5:J20,"Evidence required")+COUNTIF('CPV Plan'!J5:J20,"Evidence required")+COUNTIF('Signal Assessment'!J5:J20,"Evidence required")+COUNTIF('Evidence Register'!J5:J20,"Evidence required")+COUNTIF('CPV Data'!N5:N20,"Evidence required")</x:f>
        <x:v>0</x:v>
      </x:c>
    </x:row>
    <x:row r="7">
      <x:c r="A7" s="18" t="str">
        <x:v>Site / scale / train</x:v>
      </x:c>
      <x:c r="B7" t="str">
        <x:v>Site F01; commercial-like scale; train F01</x:v>
      </x:c>
      <x:c r="D7" s="20" t="str">
        <x:v>Review-required rows</x:v>
      </x:c>
      <x:c r="E7" s="20" t="n">
        <x:f>COUNTIF('Lifecycle Map'!J5:J20,"Review required")+COUNTIF('Process &amp; Controls'!J5:J20,"Review required")+COUNTIF('Qualification'!J5:J20,"Review required")+COUNTIF('PPQ Evidence'!J5:J20,"Review required")+COUNTIF('CPV Plan'!J5:J20,"Review required")+COUNTIF('Signal Assessment'!J5:J20,"Review required")+COUNTIF('Evidence Register'!J5:J20,"Review required")+COUNTIF('CPV Data'!N5:N20,"Review required")</x:f>
        <x:v>50</x:v>
      </x:c>
    </x:row>
    <x:row r="8">
      <x:c r="A8" s="18" t="str">
        <x:v>Lifecycle stage</x:v>
      </x:c>
      <x:c r="B8" t="str">
        <x:v>PPQ-to-routine CPV transition</x:v>
      </x:c>
      <x:c r="D8" s="20" t="str">
        <x:v>Statistical signals</x:v>
      </x:c>
      <x:c r="E8" s="20" t="n">
        <x:f>COUNTIF('CPV Data'!K5:K20,"Statistical signal")</x:f>
        <x:v>1</x:v>
      </x:c>
    </x:row>
    <x:row r="9">
      <x:c r="A9" s="18" t="str">
        <x:v>Decision</x:v>
      </x:c>
      <x:c r="B9" t="str">
        <x:v>Assess validation conclusion, routine authorization and CPV readiness</x:v>
      </x:c>
      <x:c r="D9" s="20" t="str">
        <x:v>Open actions</x:v>
      </x:c>
      <x:c r="E9" s="20" t="n">
        <x:f>COUNTIF('Review &amp; Actions'!G5:G20,"Open")</x:f>
        <x:v>5</x:v>
      </x:c>
    </x:row>
    <x:row r="10">
      <x:c r="A10" s="18" t="str">
        <x:v>Markets</x:v>
      </x:c>
      <x:c r="B10" t="str">
        <x:v>Unconfirmed; requires regulatory review</x:v>
      </x:c>
      <x:c r="D10" s="20" t="str">
        <x:v>Global status</x:v>
      </x:c>
      <x:c r="E10" s="22" t="str">
        <x:f>IF(E5+E6&gt;0,"Evidence required",IF(E7+E9&gt;0,"Qualified review required","Qualified review required"))</x:f>
        <x:v>Qualified review required</x:v>
      </x:c>
    </x:row>
    <x:row r="11">
      <x:c r="A11" s="18" t="str">
        <x:v>Decision owner</x:v>
      </x:c>
      <x:c r="B11" t="str">
        <x:v>Process-validation owner and Quality Unit (fictional roles)</x:v>
      </x:c>
    </x:row>
    <x:row r="12">
      <x:c r="A12" s="18" t="str">
        <x:v>Decision authority</x:v>
      </x:c>
      <x:c r="B12" t="str">
        <x:v>Authorized site governance (not Atlas)</x:v>
      </x:c>
    </x:row>
    <x:row r="13">
      <x:c r="A13" s="18" t="str">
        <x:v>Excluded</x:v>
      </x:c>
      <x:c r="B13" t="str">
        <x:v>Criteria, batch count, filing, validation and batch disposition</x:v>
      </x:c>
    </x:row>
    <x:row r="14">
      <x:c r="A14" s="18" t="str">
        <x:v>Workbook version</x:v>
      </x:c>
      <x:c r="B14" t="str">
        <x:v>1.0.0-review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Lifecycle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Keep process design, qualification, PPQ, routine authorization, CPV and lifecycle change as distinct decisions.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LC-01</x:v>
      </x:c>
      <x:c r="B5" s="24" t="str">
        <x:v>Process/decision scope</x:v>
      </x:c>
      <x:c r="C5" s="24" t="str">
        <x:v>Fictional CHO monoclonal-antibody drug substance; PV-F01</x:v>
      </x:c>
      <x:c r="D5" s="24" t="str">
        <x:v>Product, site, scale, train and decision identifiers indexed</x:v>
      </x:c>
      <x:c r="E5" s="24" t="str">
        <x:v>Market applicability and final authority not confirmed</x:v>
      </x:c>
      <x:c r="F5" s="24" t="str">
        <x:v>Validation lead</x:v>
      </x:c>
      <x:c r="G5" s="24" t="str">
        <x:v>EV-01</x:v>
      </x:c>
      <x:c r="H5" s="24" t="str">
        <x:v>Quality Unit + regulatory CMC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LC-02</x:v>
      </x:c>
      <x:c r="B6" s="24" t="str">
        <x:v>Process design</x:v>
      </x:c>
      <x:c r="C6" s="24" t="str">
        <x:v>Development and characterization knowledge</x:v>
      </x:c>
      <x:c r="D6" s="24" t="str">
        <x:v>Product-process map and study index controlled</x:v>
      </x:c>
      <x:c r="E6" s="24" t="str">
        <x:v>Criticality and model applicability require qualified review</x:v>
      </x:c>
      <x:c r="F6" s="24" t="str">
        <x:v>Process development</x:v>
      </x:c>
      <x:c r="G6" s="24" t="str">
        <x:v>EV-02</x:v>
      </x:c>
      <x:c r="H6" s="24" t="str">
        <x:v>Process development + product quality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LC-03</x:v>
      </x:c>
      <x:c r="B7" s="24" t="str">
        <x:v>Enabling qualification</x:v>
      </x:c>
      <x:c r="C7" s="24" t="str">
        <x:v>Facility, utility, equipment, method and data system</x:v>
      </x:c>
      <x:c r="D7" s="24" t="str">
        <x:v>Readiness package indexed</x:v>
      </x:c>
      <x:c r="E7" s="24" t="str">
        <x:v>Two deviations and automation-version bridge remain open</x:v>
      </x:c>
      <x:c r="F7" s="24" t="str">
        <x:v>Validation lead</x:v>
      </x:c>
      <x:c r="G7" s="24" t="str">
        <x:v>EV-03</x:v>
      </x:c>
      <x:c r="H7" s="24" t="str">
        <x:v>Engineering/automation + validation + quality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LC-04</x:v>
      </x:c>
      <x:c r="B8" s="24" t="str">
        <x:v>PPQ/process verification</x:v>
      </x:c>
      <x:c r="C8" s="24" t="str">
        <x:v>Fictional PPQ campaign</x:v>
      </x:c>
      <x:c r="D8" s="24" t="str">
        <x:v>Protocol and execution package indexed</x:v>
      </x:c>
      <x:c r="E8" s="24" t="str">
        <x:v>Representativeness and final validation conclusion open</x:v>
      </x:c>
      <x:c r="F8" s="24" t="str">
        <x:v>Process validation</x:v>
      </x:c>
      <x:c r="G8" s="24" t="str">
        <x:v>EV-04</x:v>
      </x:c>
      <x:c r="H8" s="24" t="str">
        <x:v>Manufacturing + statistics + Quality Unit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LC-05</x:v>
      </x:c>
      <x:c r="B9" s="24" t="str">
        <x:v>Continued verification</x:v>
      </x:c>
      <x:c r="C9" s="24" t="str">
        <x:v>Transition to routine CPV plan CPV-F01</x:v>
      </x:c>
      <x:c r="D9" s="24" t="str">
        <x:v>Signal plan and fictional dataset indexed</x:v>
      </x:c>
      <x:c r="E9" s="24" t="str">
        <x:v>Baseline, method/version and review frequency require approval</x:v>
      </x:c>
      <x:c r="F9" s="24" t="str">
        <x:v>MSAT</x:v>
      </x:c>
      <x:c r="G9" s="24" t="str">
        <x:v>EV-05</x:v>
      </x:c>
      <x:c r="H9" s="24" t="str">
        <x:v>MSAT + statistics + Quality Unit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LC-06</x:v>
      </x:c>
      <x:c r="B10" s="24" t="str">
        <x:v>Lifecycle maintenance</x:v>
      </x:c>
      <x:c r="C10" s="24" t="str">
        <x:v>Periodic review, change and effectiveness</x:v>
      </x:c>
      <x:c r="D10" s="24" t="str">
        <x:v>Action and signal-assessment registers available</x:v>
      </x:c>
      <x:c r="E10" s="24" t="str">
        <x:v>Routine authorization and monitoring commitments open</x:v>
      </x:c>
      <x:c r="F10" s="24" t="str">
        <x:v>Quality Unit</x:v>
      </x:c>
      <x:c r="G10" s="24" t="str">
        <x:v>EV-06</x:v>
      </x:c>
      <x:c r="H10" s="24" t="str">
        <x:v>Cross-functional lifecycle review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Process &amp; Controls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Trace product-process relationships, evidence strength, controls, uncertainty and knowledge gaps.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PC-01</x:v>
      </x:c>
      <x:c r="B5" s="24" t="str">
        <x:v>Product-quality attributes</x:v>
      </x:c>
      <x:c r="C5" s="24" t="str">
        <x:v>Fictional DS quality target and attribute map</x:v>
      </x:c>
      <x:c r="D5" s="24" t="str">
        <x:v>Controlled attribute/evidence index available</x:v>
      </x:c>
      <x:c r="E5" s="24" t="str">
        <x:v>No product-specific CQA conclusion in this package</x:v>
      </x:c>
      <x:c r="F5" s="24" t="str">
        <x:v>Product quality</x:v>
      </x:c>
      <x:c r="G5" s="24" t="str">
        <x:v>EV-02</x:v>
      </x:c>
      <x:c r="H5" s="24" t="str">
        <x:v>Product quality + regulatory CMC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PC-02</x:v>
      </x:c>
      <x:c r="B6" s="24" t="str">
        <x:v>Upstream inputs/parameters</x:v>
      </x:c>
      <x:c r="C6" s="24" t="str">
        <x:v>Fictional cell-culture unit operations</x:v>
      </x:c>
      <x:c r="D6" s="24" t="str">
        <x:v>Development and characterization studies indexed</x:v>
      </x:c>
      <x:c r="E6" s="24" t="str">
        <x:v>Criticality, interactions and scale applicability open</x:v>
      </x:c>
      <x:c r="F6" s="24" t="str">
        <x:v>Upstream development</x:v>
      </x:c>
      <x:c r="G6" s="24" t="str">
        <x:v>EV-02</x:v>
      </x:c>
      <x:c r="H6" s="24" t="str">
        <x:v>Upstream/MSAT + statistics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PC-03</x:v>
      </x:c>
      <x:c r="B7" s="24" t="str">
        <x:v>Downstream inputs/parameters</x:v>
      </x:c>
      <x:c r="C7" s="24" t="str">
        <x:v>Fictional capture and polishing sequence</x:v>
      </x:c>
      <x:c r="D7" s="24" t="str">
        <x:v>Development and characterization studies indexed</x:v>
      </x:c>
      <x:c r="E7" s="24" t="str">
        <x:v>Clearance, lifetime and scale applicability open</x:v>
      </x:c>
      <x:c r="F7" s="24" t="str">
        <x:v>Downstream development</x:v>
      </x:c>
      <x:c r="G7" s="24" t="str">
        <x:v>EV-02</x:v>
      </x:c>
      <x:c r="H7" s="24" t="str">
        <x:v>Downstream + analytical + viral safety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PC-04</x:v>
      </x:c>
      <x:c r="B8" s="24" t="str">
        <x:v>Performance indicators</x:v>
      </x:c>
      <x:c r="C8" s="24" t="str">
        <x:v>Growth, yield and step-performance questions</x:v>
      </x:c>
      <x:c r="D8" s="24" t="str">
        <x:v>Historical data sources identified</x:v>
      </x:c>
      <x:c r="E8" s="24" t="str">
        <x:v>Measurement, stratification and decision use open</x:v>
      </x:c>
      <x:c r="F8" s="24" t="str">
        <x:v>MSAT</x:v>
      </x:c>
      <x:c r="G8" s="24" t="str">
        <x:v>EV-02</x:v>
      </x:c>
      <x:c r="H8" s="24" t="str">
        <x:v>MSAT + statistics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PC-05</x:v>
      </x:c>
      <x:c r="B9" s="24" t="str">
        <x:v>Control strategy</x:v>
      </x:c>
      <x:c r="C9" s="24" t="str">
        <x:v>Materials, process, in-process and analytical controls</x:v>
      </x:c>
      <x:c r="D9" s="24" t="str">
        <x:v>Versioned draft control map indexed</x:v>
      </x:c>
      <x:c r="E9" s="24" t="str">
        <x:v>Validation and regulatory alignment not approved</x:v>
      </x:c>
      <x:c r="F9" s="24" t="str">
        <x:v>Process owner</x:v>
      </x:c>
      <x:c r="G9" s="24" t="str">
        <x:v>EV-02</x:v>
      </x:c>
      <x:c r="H9" s="24" t="str">
        <x:v>Product/process + Quality Unit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PC-06</x:v>
      </x:c>
      <x:c r="B10" s="24" t="str">
        <x:v>Knowledge gaps</x:v>
      </x:c>
      <x:c r="C10" s="24" t="str">
        <x:v>Unresolved model and interaction questions</x:v>
      </x:c>
      <x:c r="D10" s="24" t="str">
        <x:v>Gaps retained with impact statements</x:v>
      </x:c>
      <x:c r="E10" s="24" t="str">
        <x:v>Evidence plan and claim boundaries require approval</x:v>
      </x:c>
      <x:c r="F10" s="24" t="str">
        <x:v>Process development</x:v>
      </x:c>
      <x:c r="G10" s="24" t="str">
        <x:v>EV-02</x:v>
      </x:c>
      <x:c r="H10" s="24" t="str">
        <x:v>Cross-functional qualified review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4" priority="1" operator="containsText" text="Incomplete"/>
    <x:cfRule type="containsText" dxfId="5" priority="2" operator="containsText" text="Evidence required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Qualification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Separate facility, utility, equipment, automation/data, method, material and personnel readiness.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QU-01</x:v>
      </x:c>
      <x:c r="B5" s="24" t="str">
        <x:v>Facility and utilities</x:v>
      </x:c>
      <x:c r="C5" s="24" t="str">
        <x:v>Fictional manufacturing suite F01</x:v>
      </x:c>
      <x:c r="D5" s="24" t="str">
        <x:v>Qualified-state references indexed</x:v>
      </x:c>
      <x:c r="E5" s="24" t="str">
        <x:v>Open utility deviation impact requires assessment</x:v>
      </x:c>
      <x:c r="F5" s="24" t="str">
        <x:v>Engineering</x:v>
      </x:c>
      <x:c r="G5" s="24" t="str">
        <x:v>EV-03</x:v>
      </x:c>
      <x:c r="H5" s="24" t="str">
        <x:v>Engineering + validation + quality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QU-02</x:v>
      </x:c>
      <x:c r="B6" s="24" t="str">
        <x:v>Equipment train</x:v>
      </x:c>
      <x:c r="C6" s="24" t="str">
        <x:v>Bioreactor and chromatography train F01</x:v>
      </x:c>
      <x:c r="D6" s="24" t="str">
        <x:v>IQ/OQ/PQ and maintenance references indexed</x:v>
      </x:c>
      <x:c r="E6" s="24" t="str">
        <x:v>Chromatography-skid maintenance bridge open</x:v>
      </x:c>
      <x:c r="F6" s="24" t="str">
        <x:v>Equipment owner</x:v>
      </x:c>
      <x:c r="G6" s="24" t="str">
        <x:v>EV-03</x:v>
      </x:c>
      <x:c r="H6" s="24" t="str">
        <x:v>Engineering + manufacturing + validation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QU-03</x:v>
      </x:c>
      <x:c r="B7" s="24" t="str">
        <x:v>Automation and data</x:v>
      </x:c>
      <x:c r="C7" s="24" t="str">
        <x:v>Control and historian versions F01/F02</x:v>
      </x:c>
      <x:c r="D7" s="24" t="str">
        <x:v>System/version inventory indexed</x:v>
      </x:c>
      <x:c r="E7" s="24" t="str">
        <x:v>Version bridge and data-flow verification open</x:v>
      </x:c>
      <x:c r="F7" s="24" t="str">
        <x:v>Automation owner</x:v>
      </x:c>
      <x:c r="G7" s="24" t="str">
        <x:v>EV-03</x:v>
      </x:c>
      <x:c r="H7" s="24" t="str">
        <x:v>Automation/data integrity + quality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QU-04</x:v>
      </x:c>
      <x:c r="B8" s="24" t="str">
        <x:v>Analytical procedures</x:v>
      </x:c>
      <x:c r="C8" s="24" t="str">
        <x:v>In-process and product methods</x:v>
      </x:c>
      <x:c r="D8" s="24" t="str">
        <x:v>Validation/transfer/status references indexed</x:v>
      </x:c>
      <x:c r="E8" s="24" t="str">
        <x:v>Method performance during PPQ/CPV requires review</x:v>
      </x:c>
      <x:c r="F8" s="24" t="str">
        <x:v>Analytical owner</x:v>
      </x:c>
      <x:c r="G8" s="24" t="str">
        <x:v>EV-03</x:v>
      </x:c>
      <x:c r="H8" s="24" t="str">
        <x:v>Analytical/QC + statistics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QU-05</x:v>
      </x:c>
      <x:c r="B9" s="24" t="str">
        <x:v>Materials and suppliers</x:v>
      </x:c>
      <x:c r="C9" s="24" t="str">
        <x:v>Fictional critical material lots</x:v>
      </x:c>
      <x:c r="D9" s="24" t="str">
        <x:v>Approved material/supplier records indexed</x:v>
      </x:c>
      <x:c r="E9" s="24" t="str">
        <x:v>Lot-transition representativeness and impact open</x:v>
      </x:c>
      <x:c r="F9" s="24" t="str">
        <x:v>Materials owner</x:v>
      </x:c>
      <x:c r="G9" s="24" t="str">
        <x:v>EV-03</x:v>
      </x:c>
      <x:c r="H9" s="24" t="str">
        <x:v>Supplier quality + process/MSAT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QU-06</x:v>
      </x:c>
      <x:c r="B10" s="24" t="str">
        <x:v>Personnel and procedures</x:v>
      </x:c>
      <x:c r="C10" s="24" t="str">
        <x:v>Operators, sampling and approved instructions</x:v>
      </x:c>
      <x:c r="D10" s="24" t="str">
        <x:v>Training/procedure records indexed</x:v>
      </x:c>
      <x:c r="E10" s="24" t="str">
        <x:v>Execution-specific conformance and deviations open</x:v>
      </x:c>
      <x:c r="F10" s="24" t="str">
        <x:v>Manufacturing</x:v>
      </x:c>
      <x:c r="G10" s="24" t="str">
        <x:v>EV-03</x:v>
      </x:c>
      <x:c r="H10" s="24" t="str">
        <x:v>Manufacturing + validation + quality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8" priority="1" operator="containsText" text="Incomplete"/>
    <x:cfRule type="containsText" dxfId="9" priority="2" operator="containsText" text="Evidence required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PPQ Evidence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Preserve representativeness, predefined evaluation, execution facts, deviations, conclusion and handoff.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PQ-01</x:v>
      </x:c>
      <x:c r="B5" s="24" t="str">
        <x:v>Protocol question and scope</x:v>
      </x:c>
      <x:c r="C5" s="24" t="str">
        <x:v>PV-F01 PPQ campaign</x:v>
      </x:c>
      <x:c r="D5" s="24" t="str">
        <x:v>Approved fictional protocol reference indexed</x:v>
      </x:c>
      <x:c r="E5" s="24" t="str">
        <x:v>Final scope/market applicability not confirmed</x:v>
      </x:c>
      <x:c r="F5" s="24" t="str">
        <x:v>Process validation</x:v>
      </x:c>
      <x:c r="G5" s="24" t="str">
        <x:v>EV-04</x:v>
      </x:c>
      <x:c r="H5" s="24" t="str">
        <x:v>Quality Unit + regulatory CMC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PQ-02</x:v>
      </x:c>
      <x:c r="B6" s="24" t="str">
        <x:v>Representativeness</x:v>
      </x:c>
      <x:c r="C6" s="24" t="str">
        <x:v>Scale, train, materials, operators, campaign context</x:v>
      </x:c>
      <x:c r="D6" s="24" t="str">
        <x:v>Execution genealogy and rationale indexed</x:v>
      </x:c>
      <x:c r="E6" s="24" t="str">
        <x:v>Total routine variability coverage requires review</x:v>
      </x:c>
      <x:c r="F6" s="24" t="str">
        <x:v>MSAT</x:v>
      </x:c>
      <x:c r="G6" s="24" t="str">
        <x:v>EV-04</x:v>
      </x:c>
      <x:c r="H6" s="24" t="str">
        <x:v>Manufacturing + MSAT + statistics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PQ-03</x:v>
      </x:c>
      <x:c r="B7" s="24" t="str">
        <x:v>Sampling and methods</x:v>
      </x:c>
      <x:c r="C7" s="24" t="str">
        <x:v>Predefined process and product observations</x:v>
      </x:c>
      <x:c r="D7" s="24" t="str">
        <x:v>Sample/data genealogy and method versions indexed</x:v>
      </x:c>
      <x:c r="E7" s="24" t="str">
        <x:v>Missing-data and method-performance impact open</x:v>
      </x:c>
      <x:c r="F7" s="24" t="str">
        <x:v>Analytical owner</x:v>
      </x:c>
      <x:c r="G7" s="24" t="str">
        <x:v>EV-04</x:v>
      </x:c>
      <x:c r="H7" s="24" t="str">
        <x:v>Analytical/QC + statistics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PQ-04</x:v>
      </x:c>
      <x:c r="B8" s="24" t="str">
        <x:v>Predefined evaluation</x:v>
      </x:c>
      <x:c r="C8" s="24" t="str">
        <x:v>Controlled criteria and statistical plan</x:v>
      </x:c>
      <x:c r="D8" s="24" t="str">
        <x:v>Versioned evaluation plan indexed</x:v>
      </x:c>
      <x:c r="E8" s="24" t="str">
        <x:v>No criteria or batch-count rule distributed by Atlas</x:v>
      </x:c>
      <x:c r="F8" s="24" t="str">
        <x:v>Statistics lead</x:v>
      </x:c>
      <x:c r="G8" s="24" t="str">
        <x:v>EV-04</x:v>
      </x:c>
      <x:c r="H8" s="24" t="str">
        <x:v>Statistics + validation + Quality Unit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PQ-05</x:v>
      </x:c>
      <x:c r="B9" s="24" t="str">
        <x:v>Deviations/protocol changes</x:v>
      </x:c>
      <x:c r="C9" s="24" t="str">
        <x:v>Two fictional minor events</x:v>
      </x:c>
      <x:c r="D9" s="24" t="str">
        <x:v>Events and preliminary impact records indexed</x:v>
      </x:c>
      <x:c r="E9" s="24" t="str">
        <x:v>Investigation and total validation impact open</x:v>
      </x:c>
      <x:c r="F9" s="24" t="str">
        <x:v>Validation lead</x:v>
      </x:c>
      <x:c r="G9" s="24" t="str">
        <x:v>EV-04</x:v>
      </x:c>
      <x:c r="H9" s="24" t="str">
        <x:v>Validation + Quality Unit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PQ-06</x:v>
      </x:c>
      <x:c r="B10" s="24" t="str">
        <x:v>Conclusion and handoff</x:v>
      </x:c>
      <x:c r="C10" s="24" t="str">
        <x:v>Validation report and CPV transition</x:v>
      </x:c>
      <x:c r="D10" s="24" t="str">
        <x:v>Draft conclusion and commitment list indexed</x:v>
      </x:c>
      <x:c r="E10" s="24" t="str">
        <x:v>Approval, routine authorization and CPV commitments open</x:v>
      </x:c>
      <x:c r="F10" s="24" t="str">
        <x:v>Quality Unit</x:v>
      </x:c>
      <x:c r="G10" s="24" t="str">
        <x:v>EV-04</x:v>
      </x:c>
      <x:c r="H10" s="24" t="str">
        <x:v>Quality Unit + regulatory CMC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12" priority="1" operator="containsText" text="Incomplete"/>
    <x:cfRule type="containsText" dxfId="13" priority="2" operator="containsText" text="Evidence required"/>
    <x:cfRule type="containsText" dxfId="14" priority="3" operator="containsText" text="Review required"/>
    <x:cfRule type="containsText" dxfId="15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CPV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Define each signal, data lineage, baseline, method/version, entered threshold, review path and plan control.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CP-01</x:v>
      </x:c>
      <x:c r="B5" s="24" t="str">
        <x:v>Upstream normalized response</x:v>
      </x:c>
      <x:c r="C5" s="24" t="str">
        <x:v>Fictional unitless demonstration signal</x:v>
      </x:c>
      <x:c r="D5" s="24" t="str">
        <x:v>Source, baseline and entered thresholds indexed</x:v>
      </x:c>
      <x:c r="E5" s="24" t="str">
        <x:v>Method/version and stratification require approval</x:v>
      </x:c>
      <x:c r="F5" s="24" t="str">
        <x:v>MSAT</x:v>
      </x:c>
      <x:c r="G5" s="24" t="str">
        <x:v>EV-05</x:v>
      </x:c>
      <x:c r="H5" s="24" t="str">
        <x:v>Statistics + upstream/MSAT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CP-02</x:v>
      </x:c>
      <x:c r="B6" s="24" t="str">
        <x:v>Downstream step performance</x:v>
      </x:c>
      <x:c r="C6" s="24" t="str">
        <x:v>Fictional normalized step signal</x:v>
      </x:c>
      <x:c r="D6" s="24" t="str">
        <x:v>Data source and review question indexed</x:v>
      </x:c>
      <x:c r="E6" s="24" t="str">
        <x:v>Baseline population and maintenance stratification open</x:v>
      </x:c>
      <x:c r="F6" s="24" t="str">
        <x:v>Downstream MSAT</x:v>
      </x:c>
      <x:c r="G6" s="24" t="str">
        <x:v>EV-05</x:v>
      </x:c>
      <x:c r="H6" s="24" t="str">
        <x:v>Statistics + downstream/MSAT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CP-03</x:v>
      </x:c>
      <x:c r="B7" s="24" t="str">
        <x:v>Product-quality trend</x:v>
      </x:c>
      <x:c r="C7" s="24" t="str">
        <x:v>Fictional selected sensitive attribute</x:v>
      </x:c>
      <x:c r="D7" s="24" t="str">
        <x:v>Method and data source indexed</x:v>
      </x:c>
      <x:c r="E7" s="24" t="str">
        <x:v>Method/reference changes and specification relation open</x:v>
      </x:c>
      <x:c r="F7" s="24" t="str">
        <x:v>Product quality</x:v>
      </x:c>
      <x:c r="G7" s="24" t="str">
        <x:v>EV-05</x:v>
      </x:c>
      <x:c r="H7" s="24" t="str">
        <x:v>Analytical/product quality + statistics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CP-04</x:v>
      </x:c>
      <x:c r="B8" s="24" t="str">
        <x:v>Data lineage</x:v>
      </x:c>
      <x:c r="C8" s="24" t="str">
        <x:v>Batch, process, material, equipment and method joins</x:v>
      </x:c>
      <x:c r="D8" s="24" t="str">
        <x:v>Data map and version inventory indexed</x:v>
      </x:c>
      <x:c r="E8" s="24" t="str">
        <x:v>Completeness, latency and exception handling open</x:v>
      </x:c>
      <x:c r="F8" s="24" t="str">
        <x:v>Data owner</x:v>
      </x:c>
      <x:c r="G8" s="24" t="str">
        <x:v>EV-05</x:v>
      </x:c>
      <x:c r="H8" s="24" t="str">
        <x:v>Data integrity + process owner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CP-05</x:v>
      </x:c>
      <x:c r="B9" s="24" t="str">
        <x:v>Review/escalation</x:v>
      </x:c>
      <x:c r="C9" s="24" t="str">
        <x:v>Routine window and signal pathway</x:v>
      </x:c>
      <x:c r="D9" s="24" t="str">
        <x:v>Draft roles and escalation flow indexed</x:v>
      </x:c>
      <x:c r="E9" s="24" t="str">
        <x:v>Frequency, minimum evidence and authority require approval</x:v>
      </x:c>
      <x:c r="F9" s="24" t="str">
        <x:v>Quality Unit</x:v>
      </x:c>
      <x:c r="G9" s="24" t="str">
        <x:v>EV-05</x:v>
      </x:c>
      <x:c r="H9" s="24" t="str">
        <x:v>MSAT + Quality Unit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CP-06</x:v>
      </x:c>
      <x:c r="B10" s="24" t="str">
        <x:v>Plan change control</x:v>
      </x:c>
      <x:c r="C10" s="24" t="str">
        <x:v>Baseline, method, threshold and signal-list versions</x:v>
      </x:c>
      <x:c r="D10" s="24" t="str">
        <x:v>Version/change fields established</x:v>
      </x:c>
      <x:c r="E10" s="24" t="str">
        <x:v>Approval and retrospective-impact rules open</x:v>
      </x:c>
      <x:c r="F10" s="24" t="str">
        <x:v>CPV owner</x:v>
      </x:c>
      <x:c r="G10" s="24" t="str">
        <x:v>EV-05</x:v>
      </x:c>
      <x:c r="H10" s="24" t="str">
        <x:v>Statistics + Quality Unit + regulatory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16" priority="1" operator="containsText" text="Incomplete"/>
    <x:cfRule type="containsText" dxfId="17" priority="2" operator="containsText" text="Evidence required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7" hidden="0" customWidth="1"/>
    <x:col min="11" max="11" width="23" hidden="0" customWidth="1"/>
    <x:col min="12" max="12" width="26" hidden="0" customWidth="1"/>
    <x:col min="13" max="13" width="19" hidden="0" customWidth="1"/>
    <x:col min="14" max="14" width="20" hidden="0" customWidth="1"/>
  </x:cols>
  <x:sheetData>
    <x:row r="1" ht="32" customHeight="1">
      <x:c r="A1" s="3" t="str">
        <x:v>CPV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Fictional demonstration only: entered thresholds are never inferred as reusable limits; signals do not decide batch disposition.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9" t="str">
        <x:v>Record ID</x:v>
      </x:c>
      <x:c r="B4" s="19" t="str">
        <x:v>Batch / run</x:v>
      </x:c>
      <x:c r="C4" s="19" t="str">
        <x:v>Date</x:v>
      </x:c>
      <x:c r="D4" s="19" t="str">
        <x:v>Signal ID</x:v>
      </x:c>
      <x:c r="E4" s="19" t="str">
        <x:v>Result</x:v>
      </x:c>
      <x:c r="F4" s="19" t="str">
        <x:v>Stat lower</x:v>
      </x:c>
      <x:c r="G4" s="19" t="str">
        <x:v>Stat upper</x:v>
      </x:c>
      <x:c r="H4" s="19" t="str">
        <x:v>Spec lower</x:v>
      </x:c>
      <x:c r="I4" s="19" t="str">
        <x:v>Spec upper</x:v>
      </x:c>
      <x:c r="J4" s="19" t="str">
        <x:v>Threshold source / version</x:v>
      </x:c>
      <x:c r="K4" s="19" t="str">
        <x:v>Statistical flag</x:v>
      </x:c>
      <x:c r="L4" s="19" t="str">
        <x:v>Specification flag</x:v>
      </x:c>
      <x:c r="M4" s="19" t="str">
        <x:v>Review state</x:v>
      </x:c>
      <x:c r="N4" s="19" t="str">
        <x:v>Status</x:v>
      </x:c>
    </x:row>
    <x:row r="5" ht="53" customHeight="1">
      <x:c r="A5" s="24" t="str">
        <x:v>CPV-001</x:v>
      </x:c>
      <x:c r="B5" s="24" t="str">
        <x:v>FICT-B001</x:v>
      </x:c>
      <x:c r="C5" s="31" t="n">
        <x:v>46034</x:v>
      </x:c>
      <x:c r="D5" s="24" t="str">
        <x:v>CP-01</x:v>
      </x:c>
      <x:c r="E5" s="32" t="n">
        <x:v>1.01</x:v>
      </x:c>
      <x:c r="F5" s="32" t="n">
        <x:v>0.9</x:v>
      </x:c>
      <x:c r="G5" s="32" t="n">
        <x:v>1.1</x:v>
      </x:c>
      <x:c r="H5" s="32" t="n">
        <x:v>0.8</x:v>
      </x:c>
      <x:c r="I5" s="32" t="n">
        <x:v>1.2</x:v>
      </x:c>
      <x:c r="J5" s="24" t="str">
        <x:v>FICT-LIMIT-001 Rev A</x:v>
      </x:c>
      <x:c r="K5" s="24" t="str">
        <x:f>IF(OR(B5="",D5="",E5="",F5="",G5=""),"Evidence required",IF(OR(E5&lt;F5,E5&gt;G5),"Statistical signal","No threshold signal"))</x:f>
        <x:v>No threshold signal</x:v>
      </x:c>
      <x:c r="L5" s="24" t="str">
        <x:f>IF(OR(B5="",D5="",E5="",H5="",I5=""),"Evidence required",IF(OR(E5&lt;H5,E5&gt;I5),"Out of specification","Within entered specification"))</x:f>
        <x:v>Within entered specification</x:v>
      </x:c>
      <x:c r="M5" s="24" t="str">
        <x:v>Pending review</x:v>
      </x:c>
      <x:c r="N5" s="24" t="str">
        <x:f>IF(B5="","Incomplete",IF(OR(J5="",K5="Evidence required",L5="Evidence required"),"Evidence required",IF(M5&lt;&gt;"Accepted","Review required","Complete")))</x:f>
        <x:v>Review required</x:v>
      </x:c>
    </x:row>
    <x:row r="6" ht="53" customHeight="1">
      <x:c r="A6" s="24" t="str">
        <x:v>CPV-002</x:v>
      </x:c>
      <x:c r="B6" s="24" t="str">
        <x:v>FICT-B002</x:v>
      </x:c>
      <x:c r="C6" s="31" t="n">
        <x:v>46048</x:v>
      </x:c>
      <x:c r="D6" s="24" t="str">
        <x:v>CP-01</x:v>
      </x:c>
      <x:c r="E6" s="32" t="n">
        <x:v>0.98</x:v>
      </x:c>
      <x:c r="F6" s="32" t="n">
        <x:v>0.9</x:v>
      </x:c>
      <x:c r="G6" s="32" t="n">
        <x:v>1.1</x:v>
      </x:c>
      <x:c r="H6" s="32" t="n">
        <x:v>0.8</x:v>
      </x:c>
      <x:c r="I6" s="32" t="n">
        <x:v>1.2</x:v>
      </x:c>
      <x:c r="J6" s="24" t="str">
        <x:v>FICT-LIMIT-001 Rev A</x:v>
      </x:c>
      <x:c r="K6" s="24" t="str">
        <x:f>IF(OR(B6="",D6="",E6="",F6="",G6=""),"Evidence required",IF(OR(E6&lt;F6,E6&gt;G6),"Statistical signal","No threshold signal"))</x:f>
        <x:v>No threshold signal</x:v>
      </x:c>
      <x:c r="L6" s="24" t="str">
        <x:f>IF(OR(B6="",D6="",E6="",H6="",I6=""),"Evidence required",IF(OR(E6&lt;H6,E6&gt;I6),"Out of specification","Within entered specification"))</x:f>
        <x:v>Within entered specification</x:v>
      </x:c>
      <x:c r="M6" s="24" t="str">
        <x:v>Pending review</x:v>
      </x:c>
      <x:c r="N6" s="24" t="str">
        <x:f>IF(B6="","Incomplete",IF(OR(J6="",K6="Evidence required",L6="Evidence required"),"Evidence required",IF(M6&lt;&gt;"Accepted","Review required","Complete")))</x:f>
        <x:v>Review required</x:v>
      </x:c>
    </x:row>
    <x:row r="7" ht="53" customHeight="1">
      <x:c r="A7" s="24" t="str">
        <x:v>CPV-003</x:v>
      </x:c>
      <x:c r="B7" s="24" t="str">
        <x:v>FICT-B003</x:v>
      </x:c>
      <x:c r="C7" s="31" t="n">
        <x:v>46062</x:v>
      </x:c>
      <x:c r="D7" s="24" t="str">
        <x:v>CP-01</x:v>
      </x:c>
      <x:c r="E7" s="32" t="n">
        <x:v>1.04</x:v>
      </x:c>
      <x:c r="F7" s="32" t="n">
        <x:v>0.9</x:v>
      </x:c>
      <x:c r="G7" s="32" t="n">
        <x:v>1.1</x:v>
      </x:c>
      <x:c r="H7" s="32" t="n">
        <x:v>0.8</x:v>
      </x:c>
      <x:c r="I7" s="32" t="n">
        <x:v>1.2</x:v>
      </x:c>
      <x:c r="J7" s="24" t="str">
        <x:v>FICT-LIMIT-001 Rev A</x:v>
      </x:c>
      <x:c r="K7" s="24" t="str">
        <x:f>IF(OR(B7="",D7="",E7="",F7="",G7=""),"Evidence required",IF(OR(E7&lt;F7,E7&gt;G7),"Statistical signal","No threshold signal"))</x:f>
        <x:v>No threshold signal</x:v>
      </x:c>
      <x:c r="L7" s="24" t="str">
        <x:f>IF(OR(B7="",D7="",E7="",H7="",I7=""),"Evidence required",IF(OR(E7&lt;H7,E7&gt;I7),"Out of specification","Within entered specification"))</x:f>
        <x:v>Within entered specification</x:v>
      </x:c>
      <x:c r="M7" s="24" t="str">
        <x:v>Pending review</x:v>
      </x:c>
      <x:c r="N7" s="24" t="str">
        <x:f>IF(B7="","Incomplete",IF(OR(J7="",K7="Evidence required",L7="Evidence required"),"Evidence required",IF(M7&lt;&gt;"Accepted","Review required","Complete")))</x:f>
        <x:v>Review required</x:v>
      </x:c>
    </x:row>
    <x:row r="8" ht="53" customHeight="1">
      <x:c r="A8" s="24" t="str">
        <x:v>CPV-004</x:v>
      </x:c>
      <x:c r="B8" s="24" t="str">
        <x:v>FICT-B004</x:v>
      </x:c>
      <x:c r="C8" s="31" t="n">
        <x:v>46076</x:v>
      </x:c>
      <x:c r="D8" s="24" t="str">
        <x:v>CP-01</x:v>
      </x:c>
      <x:c r="E8" s="32" t="n">
        <x:v>1.13</x:v>
      </x:c>
      <x:c r="F8" s="32" t="n">
        <x:v>0.9</x:v>
      </x:c>
      <x:c r="G8" s="32" t="n">
        <x:v>1.1</x:v>
      </x:c>
      <x:c r="H8" s="32" t="n">
        <x:v>0.8</x:v>
      </x:c>
      <x:c r="I8" s="32" t="n">
        <x:v>1.2</x:v>
      </x:c>
      <x:c r="J8" s="24" t="str">
        <x:v>FICT-LIMIT-001 Rev A</x:v>
      </x:c>
      <x:c r="K8" s="24" t="str">
        <x:f>IF(OR(B8="",D8="",E8="",F8="",G8=""),"Evidence required",IF(OR(E8&lt;F8,E8&gt;G8),"Statistical signal","No threshold signal"))</x:f>
        <x:v>Statistical signal</x:v>
      </x:c>
      <x:c r="L8" s="24" t="str">
        <x:f>IF(OR(B8="",D8="",E8="",H8="",I8=""),"Evidence required",IF(OR(E8&lt;H8,E8&gt;I8),"Out of specification","Within entered specification"))</x:f>
        <x:v>Within entered specification</x:v>
      </x:c>
      <x:c r="M8" s="24" t="str">
        <x:v>Pending review</x:v>
      </x:c>
      <x:c r="N8" s="24" t="str">
        <x:f>IF(B8="","Incomplete",IF(OR(J8="",K8="Evidence required",L8="Evidence required"),"Evidence required",IF(M8&lt;&gt;"Accepted","Review required","Complete")))</x:f>
        <x:v>Review required</x:v>
      </x:c>
    </x:row>
    <x:row r="9" ht="53" customHeight="1">
      <x:c r="A9" s="24" t="str">
        <x:v>CPV-005</x:v>
      </x:c>
      <x:c r="B9" s="24" t="str">
        <x:v>FICT-B005</x:v>
      </x:c>
      <x:c r="C9" s="31" t="n">
        <x:v>46090</x:v>
      </x:c>
      <x:c r="D9" s="24" t="str">
        <x:v>CP-01</x:v>
      </x:c>
      <x:c r="E9" s="32" t="n">
        <x:v>1.05</x:v>
      </x:c>
      <x:c r="F9" s="32" t="n">
        <x:v>0.9</x:v>
      </x:c>
      <x:c r="G9" s="32" t="n">
        <x:v>1.1</x:v>
      </x:c>
      <x:c r="H9" s="32" t="n">
        <x:v>0.8</x:v>
      </x:c>
      <x:c r="I9" s="32" t="n">
        <x:v>1.2</x:v>
      </x:c>
      <x:c r="J9" s="24" t="str">
        <x:v>FICT-LIMIT-001 Rev A</x:v>
      </x:c>
      <x:c r="K9" s="24" t="str">
        <x:f>IF(OR(B9="",D9="",E9="",F9="",G9=""),"Evidence required",IF(OR(E9&lt;F9,E9&gt;G9),"Statistical signal","No threshold signal"))</x:f>
        <x:v>No threshold signal</x:v>
      </x:c>
      <x:c r="L9" s="24" t="str">
        <x:f>IF(OR(B9="",D9="",E9="",H9="",I9=""),"Evidence required",IF(OR(E9&lt;H9,E9&gt;I9),"Out of specification","Within entered specification"))</x:f>
        <x:v>Within entered specification</x:v>
      </x:c>
      <x:c r="M9" s="24" t="str">
        <x:v>Pending review</x:v>
      </x:c>
      <x:c r="N9" s="24" t="str">
        <x:f>IF(B9="","Incomplete",IF(OR(J9="",K9="Evidence required",L9="Evidence required"),"Evidence required",IF(M9&lt;&gt;"Accepted","Review required","Complete")))</x:f>
        <x:v>Review required</x:v>
      </x:c>
    </x:row>
    <x:row r="10" ht="53" customHeight="1">
      <x:c r="A10" s="24" t="str">
        <x:v>CPV-006</x:v>
      </x:c>
      <x:c r="B10" s="24" t="str">
        <x:v>FICT-B006</x:v>
      </x:c>
      <x:c r="C10" s="31" t="n">
        <x:v>46104</x:v>
      </x:c>
      <x:c r="D10" s="24" t="str">
        <x:v>CP-01</x:v>
      </x:c>
      <x:c r="E10" s="32" t="n">
        <x:v>1.02</x:v>
      </x:c>
      <x:c r="F10" s="32" t="n">
        <x:v>0.9</x:v>
      </x:c>
      <x:c r="G10" s="32" t="n">
        <x:v>1.1</x:v>
      </x:c>
      <x:c r="H10" s="32" t="n">
        <x:v>0.8</x:v>
      </x:c>
      <x:c r="I10" s="32" t="n">
        <x:v>1.2</x:v>
      </x:c>
      <x:c r="J10" s="24" t="str">
        <x:v>FICT-LIMIT-001 Rev A</x:v>
      </x:c>
      <x:c r="K10" s="24" t="str">
        <x:f>IF(OR(B10="",D10="",E10="",F10="",G10=""),"Evidence required",IF(OR(E10&lt;F10,E10&gt;G10),"Statistical signal","No threshold signal"))</x:f>
        <x:v>No threshold signal</x:v>
      </x:c>
      <x:c r="L10" s="24" t="str">
        <x:f>IF(OR(B10="",D10="",E10="",H10="",I10=""),"Evidence required",IF(OR(E10&lt;H10,E10&gt;I10),"Out of specification","Within entered specification"))</x:f>
        <x:v>Within entered specification</x:v>
      </x:c>
      <x:c r="M10" s="24" t="str">
        <x:v>Pending review</x:v>
      </x:c>
      <x:c r="N10" s="24" t="str">
        <x:f>IF(B10="","Incomplete",IF(OR(J10="",K10="Evidence required",L10="Evidence required"),"Evidence required",IF(M10&lt;&gt;"Accepted","Review required","Complete")))</x:f>
        <x:v>Review required</x:v>
      </x:c>
    </x:row>
  </x:sheetData>
  <x:mergeCells>
    <x:mergeCell ref="A1:N1"/>
    <x:mergeCell ref="A2:N2"/>
  </x:mergeCells>
  <x:conditionalFormatting sqref="K5:N10">
    <x:cfRule type="containsText" dxfId="28" priority="1" operator="containsText" text="Evidence required"/>
  </x:conditionalFormatting>
  <x:conditionalFormatting sqref="K5:K10">
    <x:cfRule type="containsText" dxfId="29" priority="2" operator="containsText" text="Statistical signal"/>
  </x:conditionalFormatting>
  <x:conditionalFormatting sqref="L5:L10">
    <x:cfRule type="containsText" dxfId="30" priority="3" operator="containsText" text="Out of specification"/>
  </x:conditionalFormatting>
  <x:conditionalFormatting sqref="N5:N10">
    <x:cfRule type="containsText" dxfId="31" priority="4" operator="containsText" text="Review required"/>
  </x:conditionalFormatting>
  <x:dataValidations count="1">
    <x:dataValidation type="list" sqref="M5:M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Signal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Separate statistical signal, specification status, integrity, hypotheses, product impact and disposition.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SA-01</x:v>
      </x:c>
      <x:c r="B5" s="24" t="str">
        <x:v>Statistical signal</x:v>
      </x:c>
      <x:c r="C5" s="24" t="str">
        <x:v>CPV-004; outside entered statistical threshold</x:v>
      </x:c>
      <x:c r="D5" s="24" t="str">
        <x:v>Original record/method/version preserved</x:v>
      </x:c>
      <x:c r="E5" s="24" t="str">
        <x:v>Signal does not supply root cause or disposition</x:v>
      </x:c>
      <x:c r="F5" s="24" t="str">
        <x:v>MSAT</x:v>
      </x:c>
      <x:c r="G5" s="24" t="str">
        <x:v>EV-07</x:v>
      </x:c>
      <x:c r="H5" s="24" t="str">
        <x:v>Statistics + process owner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SA-02</x:v>
      </x:c>
      <x:c r="B6" s="24" t="str">
        <x:v>Specification status</x:v>
      </x:c>
      <x:c r="C6" s="24" t="str">
        <x:v>CPV-004; within fictional entered specification</x:v>
      </x:c>
      <x:c r="D6" s="24" t="str">
        <x:v>Separate specification check recorded</x:v>
      </x:c>
      <x:c r="E6" s="24" t="str">
        <x:v>Within specification does not close state-of-control review</x:v>
      </x:c>
      <x:c r="F6" s="24" t="str">
        <x:v>Quality Unit</x:v>
      </x:c>
      <x:c r="G6" s="24" t="str">
        <x:v>EV-07</x:v>
      </x:c>
      <x:c r="H6" s="24" t="str">
        <x:v>QC + Quality Unit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SA-03</x:v>
      </x:c>
      <x:c r="B7" s="24" t="str">
        <x:v>Data/method integrity</x:v>
      </x:c>
      <x:c r="C7" s="24" t="str">
        <x:v>CPV-004 source and method</x:v>
      </x:c>
      <x:c r="D7" s="24" t="str">
        <x:v>Initial trace and method-state references indexed</x:v>
      </x:c>
      <x:c r="E7" s="24" t="str">
        <x:v>Independent completeness/integrity review open</x:v>
      </x:c>
      <x:c r="F7" s="24" t="str">
        <x:v>Data owner</x:v>
      </x:c>
      <x:c r="G7" s="24" t="str">
        <x:v>EV-07</x:v>
      </x:c>
      <x:c r="H7" s="24" t="str">
        <x:v>Data integrity + analytical/QC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SA-04</x:v>
      </x:c>
      <x:c r="B8" s="24" t="str">
        <x:v>Concurrent events</x:v>
      </x:c>
      <x:c r="C8" s="24" t="str">
        <x:v>Skid maintenance and material-lot transition</x:v>
      </x:c>
      <x:c r="D8" s="24" t="str">
        <x:v>Event timelines indexed</x:v>
      </x:c>
      <x:c r="E8" s="24" t="str">
        <x:v>Causality and interaction hypotheses unresolved</x:v>
      </x:c>
      <x:c r="F8" s="24" t="str">
        <x:v>MSAT</x:v>
      </x:c>
      <x:c r="G8" s="24" t="str">
        <x:v>EV-07</x:v>
      </x:c>
      <x:c r="H8" s="24" t="str">
        <x:v>Engineering + materials + process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SA-05</x:v>
      </x:c>
      <x:c r="B9" s="24" t="str">
        <x:v>Product/process impact</x:v>
      </x:c>
      <x:c r="C9" s="24" t="str">
        <x:v>Fictional process and product evidence</x:v>
      </x:c>
      <x:c r="D9" s="24" t="str">
        <x:v>Related results and trend window indexed</x:v>
      </x:c>
      <x:c r="E9" s="24" t="str">
        <x:v>Impact and validation-state conclusion open</x:v>
      </x:c>
      <x:c r="F9" s="24" t="str">
        <x:v>Product quality</x:v>
      </x:c>
      <x:c r="G9" s="24" t="str">
        <x:v>EV-07</x:v>
      </x:c>
      <x:c r="H9" s="24" t="str">
        <x:v>Product quality + statistics + Quality Unit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SA-06</x:v>
      </x:c>
      <x:c r="B10" s="24" t="str">
        <x:v>Action/effectiveness</x:v>
      </x:c>
      <x:c r="C10" s="24" t="str">
        <x:v>Investigation, monitoring and change options</x:v>
      </x:c>
      <x:c r="D10" s="24" t="str">
        <x:v>Five actions recorded</x:v>
      </x:c>
      <x:c r="E10" s="24" t="str">
        <x:v>No CAPA/change/batch decision authorized</x:v>
      </x:c>
      <x:c r="F10" s="24" t="str">
        <x:v>Quality Unit</x:v>
      </x:c>
      <x:c r="G10" s="24" t="str">
        <x:v>EV-07</x:v>
      </x:c>
      <x:c r="H10" s="24" t="str">
        <x:v>Cross-functional authorized review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20" priority="1" operator="containsText" text="Incomplete"/>
    <x:cfRule type="containsText" dxfId="21" priority="2" operator="containsText" text="Evidence required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Every evidence object needs a controlled ID, version, locator, limitation, owner and reviewer state.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EV-01</x:v>
      </x:c>
      <x:c r="B5" s="24" t="str">
        <x:v>Decision and process scope</x:v>
      </x:c>
      <x:c r="C5" s="24" t="str">
        <x:v>FICT-PV-SCOPE-001 Rev A</x:v>
      </x:c>
      <x:c r="D5" s="24" t="str">
        <x:v>Controlled fictional locator</x:v>
      </x:c>
      <x:c r="E5" s="24" t="str">
        <x:v>No scope, market or authority conclusion</x:v>
      </x:c>
      <x:c r="F5" s="24" t="str">
        <x:v>Validation lead</x:v>
      </x:c>
      <x:c r="G5" s="24" t="str">
        <x:v>FICT-PV-SCOPE-001</x:v>
      </x:c>
      <x:c r="H5" s="24" t="str">
        <x:v>Quality Unit + regulatory CMC</x:v>
      </x:c>
      <x:c r="I5" s="24" t="str">
        <x:v>Pending review</x:v>
      </x:c>
      <x:c r="J5" s="24" t="str">
        <x:f>IF(B5="","Incomplete",IF(G5="","Evidence required",IF(OR(H5="",I5&lt;&gt;"Accepted"),"Review required","Complete")))</x:f>
        <x:v>Review required</x:v>
      </x:c>
    </x:row>
    <x:row r="6" ht="64" customHeight="1">
      <x:c r="A6" s="24" t="str">
        <x:v>EV-02</x:v>
      </x:c>
      <x:c r="B6" s="24" t="str">
        <x:v>Process knowledge/control map</x:v>
      </x:c>
      <x:c r="C6" s="24" t="str">
        <x:v>FICT-PROCESS-KNOWLEDGE-001 Rev A</x:v>
      </x:c>
      <x:c r="D6" s="24" t="str">
        <x:v>Controlled fictional locator</x:v>
      </x:c>
      <x:c r="E6" s="24" t="str">
        <x:v>No CQA, CPP, range or design-space conclusion</x:v>
      </x:c>
      <x:c r="F6" s="24" t="str">
        <x:v>Process development</x:v>
      </x:c>
      <x:c r="G6" s="24" t="str">
        <x:v>FICT-PROCESS-KNOWLEDGE-001</x:v>
      </x:c>
      <x:c r="H6" s="24" t="str">
        <x:v>Process/product + statistics</x:v>
      </x:c>
      <x:c r="I6" s="24" t="str">
        <x:v>Pending review</x:v>
      </x:c>
      <x:c r="J6" s="24" t="str">
        <x:f>IF(B6="","Incomplete",IF(G6="","Evidence required",IF(OR(H6="",I6&lt;&gt;"Accepted"),"Review required","Complete")))</x:f>
        <x:v>Review required</x:v>
      </x:c>
    </x:row>
    <x:row r="7" ht="64" customHeight="1">
      <x:c r="A7" s="24" t="str">
        <x:v>EV-03</x:v>
      </x:c>
      <x:c r="B7" s="24" t="str">
        <x:v>Qualification/readiness package</x:v>
      </x:c>
      <x:c r="C7" s="24" t="str">
        <x:v>FICT-QUAL-001 Rev A</x:v>
      </x:c>
      <x:c r="D7" s="24" t="str">
        <x:v>Controlled fictional locator</x:v>
      </x:c>
      <x:c r="E7" s="24" t="str">
        <x:v>No enabling-system or execution authorization</x:v>
      </x:c>
      <x:c r="F7" s="24" t="str">
        <x:v>Validation lead</x:v>
      </x:c>
      <x:c r="G7" s="24" t="str">
        <x:v>FICT-QUAL-001</x:v>
      </x:c>
      <x:c r="H7" s="24" t="str">
        <x:v>Engineering/analytical + Quality Unit</x:v>
      </x:c>
      <x:c r="I7" s="24" t="str">
        <x:v>Pending review</x:v>
      </x:c>
      <x:c r="J7" s="24" t="str">
        <x:f>IF(B7="","Incomplete",IF(G7="","Evidence required",IF(OR(H7="",I7&lt;&gt;"Accepted"),"Review required","Complete")))</x:f>
        <x:v>Review required</x:v>
      </x:c>
    </x:row>
    <x:row r="8" ht="64" customHeight="1">
      <x:c r="A8" s="24" t="str">
        <x:v>EV-04</x:v>
      </x:c>
      <x:c r="B8" s="24" t="str">
        <x:v>PPQ protocol/execution/report</x:v>
      </x:c>
      <x:c r="C8" s="24" t="str">
        <x:v>FICT-PPQ-001 Rev A</x:v>
      </x:c>
      <x:c r="D8" s="24" t="str">
        <x:v>Controlled fictional locator</x:v>
      </x:c>
      <x:c r="E8" s="24" t="str">
        <x:v>No PPQ success or validated-state conclusion</x:v>
      </x:c>
      <x:c r="F8" s="24" t="str">
        <x:v>Process validation</x:v>
      </x:c>
      <x:c r="G8" s="24" t="str">
        <x:v>FICT-PPQ-001</x:v>
      </x:c>
      <x:c r="H8" s="24" t="str">
        <x:v>Manufacturing/statistics + Quality Unit</x:v>
      </x:c>
      <x:c r="I8" s="24" t="str">
        <x:v>Pending review</x:v>
      </x:c>
      <x:c r="J8" s="24" t="str">
        <x:f>IF(B8="","Incomplete",IF(G8="","Evidence required",IF(OR(H8="",I8&lt;&gt;"Accepted"),"Review required","Complete")))</x:f>
        <x:v>Review required</x:v>
      </x:c>
    </x:row>
    <x:row r="9" ht="64" customHeight="1">
      <x:c r="A9" s="24" t="str">
        <x:v>EV-05</x:v>
      </x:c>
      <x:c r="B9" s="24" t="str">
        <x:v>CPV plan and data lineage</x:v>
      </x:c>
      <x:c r="C9" s="24" t="str">
        <x:v>FICT-CPV-PLAN-001 Rev A</x:v>
      </x:c>
      <x:c r="D9" s="24" t="str">
        <x:v>Controlled fictional locator</x:v>
      </x:c>
      <x:c r="E9" s="24" t="str">
        <x:v>No approved baseline, signal rule or frequency</x:v>
      </x:c>
      <x:c r="F9" s="24" t="str">
        <x:v>CPV owner</x:v>
      </x:c>
      <x:c r="G9" s="24" t="str">
        <x:v>FICT-CPV-PLAN-001</x:v>
      </x:c>
      <x:c r="H9" s="24" t="str">
        <x:v>MSAT/statistics + Quality Unit</x:v>
      </x:c>
      <x:c r="I9" s="24" t="str">
        <x:v>Pending review</x:v>
      </x:c>
      <x:c r="J9" s="24" t="str">
        <x:f>IF(B9="","Incomplete",IF(G9="","Evidence required",IF(OR(H9="",I9&lt;&gt;"Accepted"),"Review required","Complete")))</x:f>
        <x:v>Review required</x:v>
      </x:c>
    </x:row>
    <x:row r="10" ht="64" customHeight="1">
      <x:c r="A10" s="24" t="str">
        <x:v>EV-06</x:v>
      </x:c>
      <x:c r="B10" s="24" t="str">
        <x:v>Lifecycle/change review</x:v>
      </x:c>
      <x:c r="C10" s="24" t="str">
        <x:v>FICT-LIFECYCLE-001 Rev A</x:v>
      </x:c>
      <x:c r="D10" s="24" t="str">
        <x:v>Controlled fictional locator</x:v>
      </x:c>
      <x:c r="E10" s="24" t="str">
        <x:v>No routine authorization, revalidation or filing conclusion</x:v>
      </x:c>
      <x:c r="F10" s="24" t="str">
        <x:v>Quality Unit</x:v>
      </x:c>
      <x:c r="G10" s="24" t="str">
        <x:v>FICT-LIFECYCLE-001</x:v>
      </x:c>
      <x:c r="H10" s="24" t="str">
        <x:v>Quality Unit + regulatory CMC</x:v>
      </x:c>
      <x:c r="I10" s="24" t="str">
        <x:v>Pending review</x:v>
      </x:c>
      <x:c r="J10" s="24" t="str">
        <x:f>IF(B10="","Incomplete",IF(G10="","Evidence required",IF(OR(H10="",I10&lt;&gt;"Accepted"),"Review required","Complete")))</x:f>
        <x:v>Review required</x:v>
      </x:c>
    </x:row>
    <x:row r="11" ht="64" customHeight="1">
      <x:c r="A11" s="24" t="str">
        <x:v>EV-07</x:v>
      </x:c>
      <x:c r="B11" s="24" t="str">
        <x:v>Signal investigation package</x:v>
      </x:c>
      <x:c r="C11" s="24" t="str">
        <x:v>FICT-SIGNAL-001 Rev A</x:v>
      </x:c>
      <x:c r="D11" s="24" t="str">
        <x:v>Controlled fictional locator</x:v>
      </x:c>
      <x:c r="E11" s="24" t="str">
        <x:v>No root cause, CAPA, validation or batch conclusion</x:v>
      </x:c>
      <x:c r="F11" s="24" t="str">
        <x:v>Investigation owner</x:v>
      </x:c>
      <x:c r="G11" s="24" t="str">
        <x:v>FICT-SIGNAL-001</x:v>
      </x:c>
      <x:c r="H11" s="24" t="str">
        <x:v>Cross-functional qualified review</x:v>
      </x:c>
      <x:c r="I11" s="24" t="str">
        <x:v>Pending review</x:v>
      </x:c>
      <x:c r="J11" s="24" t="str">
        <x:f>IF(B11="","Incomplete",IF(G11="","Evidence required",IF(OR(H11="",I11&lt;&gt;"Accepted"),"Review required","Complete")))</x:f>
        <x:v>Review required</x:v>
      </x:c>
    </x:row>
    <x:row r="12" ht="64" customHeight="1">
      <x:c r="A12" s="24" t="str">
        <x:v>EV-08</x:v>
      </x:c>
      <x:c r="B12" s="24" t="str">
        <x:v>Periodic review/management input</x:v>
      </x:c>
      <x:c r="C12" s="24" t="str">
        <x:v>FICT-PQR-001 Rev A</x:v>
      </x:c>
      <x:c r="D12" s="24" t="str">
        <x:v>Controlled fictional locator</x:v>
      </x:c>
      <x:c r="E12" s="24" t="str">
        <x:v>No management, control-strategy or monitoring decision</x:v>
      </x:c>
      <x:c r="F12" s="24" t="str">
        <x:v>Product owner</x:v>
      </x:c>
      <x:c r="G12" s="24" t="str">
        <x:v>FICT-PQR-001</x:v>
      </x:c>
      <x:c r="H12" s="24" t="str">
        <x:v>Product owner + Quality Unit</x:v>
      </x:c>
      <x:c r="I12" s="24" t="str">
        <x:v>Pending review</x:v>
      </x:c>
      <x:c r="J12" s="24" t="str">
        <x:f>IF(B12="","Incomplete",IF(G12="","Evidence required",IF(OR(H12="",I12&lt;&gt;"Accepted"),"Review required","Complete")))</x:f>
        <x:v>Review required</x:v>
      </x:c>
    </x:row>
  </x:sheetData>
  <x:mergeCells>
    <x:mergeCell ref="A1:J1"/>
    <x:mergeCell ref="A2:J2"/>
  </x:mergeCells>
  <x:conditionalFormatting sqref="J5:J12">
    <x:cfRule type="containsText" dxfId="24" priority="1" operator="containsText" text="Incomplete"/>
    <x:cfRule type="containsText" dxfId="25" priority="2" operator="containsText" text="Evidence required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2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35" hidden="0" customWidth="1"/>
    <x:col min="4" max="4" width="38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An action closes only with controlled evidence and an authorized decision.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9" t="str">
        <x:v>Action ID</x:v>
      </x:c>
      <x:c r="B4" s="19" t="str">
        <x:v>Action / decision</x:v>
      </x:c>
      <x:c r="C4" s="19" t="str">
        <x:v>Linked IDs</x:v>
      </x:c>
      <x:c r="D4" s="19" t="str">
        <x:v>Owner / reviewer</x:v>
      </x:c>
      <x:c r="E4" s="19" t="str">
        <x:v>Risk</x:v>
      </x:c>
      <x:c r="F4" s="19" t="str">
        <x:v>Due gate</x:v>
      </x:c>
      <x:c r="G4" s="19" t="str">
        <x:v>Status</x:v>
      </x:c>
      <x:c r="H4" s="19" t="str">
        <x:v>Closure evidence / acceptance</x:v>
      </x:c>
    </x:row>
    <x:row r="5" ht="61" customHeight="1">
      <x:c r="A5" s="24" t="str">
        <x:v>ACT-01</x:v>
      </x:c>
      <x:c r="B5" s="24" t="str">
        <x:v>Close process-knowledge and criticality review</x:v>
      </x:c>
      <x:c r="C5" s="24" t="str">
        <x:v>PC-01 to PC-06; EV-02</x:v>
      </x:c>
      <x:c r="D5" s="24" t="str">
        <x:v>Process development + product quality + statistics</x:v>
      </x:c>
      <x:c r="E5" s="24" t="str">
        <x:v>High</x:v>
      </x:c>
      <x:c r="F5" s="24" t="str">
        <x:v>Before validation conclusion</x:v>
      </x:c>
      <x:c r="G5" s="24" t="str">
        <x:v>Open</x:v>
      </x:c>
      <x:c r="H5" s="24" t="str">
        <x:v>Qualified product-process assessment and approved claim boundaries</x:v>
      </x:c>
    </x:row>
    <x:row r="6" ht="61" customHeight="1">
      <x:c r="A6" s="24" t="str">
        <x:v>ACT-02</x:v>
      </x:c>
      <x:c r="B6" s="24" t="str">
        <x:v>Resolve qualification deviations and automation-version bridge</x:v>
      </x:c>
      <x:c r="C6" s="24" t="str">
        <x:v>QU-01 to QU-06; EV-03</x:v>
      </x:c>
      <x:c r="D6" s="24" t="str">
        <x:v>Engineering/automation + validation + quality</x:v>
      </x:c>
      <x:c r="E6" s="24" t="str">
        <x:v>Critical</x:v>
      </x:c>
      <x:c r="F6" s="24" t="str">
        <x:v>Before routine authorization</x:v>
      </x:c>
      <x:c r="G6" s="24" t="str">
        <x:v>Open</x:v>
      </x:c>
      <x:c r="H6" s="24" t="str">
        <x:v>Approved deviation impact and data-flow/qualification evidence</x:v>
      </x:c>
    </x:row>
    <x:row r="7" ht="61" customHeight="1">
      <x:c r="A7" s="24" t="str">
        <x:v>ACT-03</x:v>
      </x:c>
      <x:c r="B7" s="24" t="str">
        <x:v>Approve PPQ representativeness, deviation impact and conclusion</x:v>
      </x:c>
      <x:c r="C7" s="24" t="str">
        <x:v>PQ-01 to PQ-06; EV-04</x:v>
      </x:c>
      <x:c r="D7" s="24" t="str">
        <x:v>Manufacturing + validation + statistics + Quality Unit</x:v>
      </x:c>
      <x:c r="E7" s="24" t="str">
        <x:v>Critical</x:v>
      </x:c>
      <x:c r="F7" s="24" t="str">
        <x:v>Before validated-state decision</x:v>
      </x:c>
      <x:c r="G7" s="24" t="str">
        <x:v>Open</x:v>
      </x:c>
      <x:c r="H7" s="24" t="str">
        <x:v>Authorized report, conclusion and residual commitments</x:v>
      </x:c>
    </x:row>
    <x:row r="8" ht="61" customHeight="1">
      <x:c r="A8" s="24" t="str">
        <x:v>ACT-04</x:v>
      </x:c>
      <x:c r="B8" s="24" t="str">
        <x:v>Approve CPV baseline, method/version, stratification and review path</x:v>
      </x:c>
      <x:c r="C8" s="24" t="str">
        <x:v>CP-01 to CP-06; EV-05</x:v>
      </x:c>
      <x:c r="D8" s="24" t="str">
        <x:v>MSAT + statistics + Quality Unit</x:v>
      </x:c>
      <x:c r="E8" s="24" t="str">
        <x:v>High</x:v>
      </x:c>
      <x:c r="F8" s="24" t="str">
        <x:v>Before routine CPV</x:v>
      </x:c>
      <x:c r="G8" s="24" t="str">
        <x:v>Open</x:v>
      </x:c>
      <x:c r="H8" s="24" t="str">
        <x:v>Controlled CPV plan and data-lineage verification</x:v>
      </x:c>
    </x:row>
    <x:row r="9" ht="61" customHeight="1">
      <x:c r="A9" s="24" t="str">
        <x:v>ACT-05</x:v>
      </x:c>
      <x:c r="B9" s="24" t="str">
        <x:v>Resolve CPV-004 signal and authorize lifecycle actions</x:v>
      </x:c>
      <x:c r="C9" s="24" t="str">
        <x:v>CPV-004; SA-01 to SA-06; EV-07</x:v>
      </x:c>
      <x:c r="D9" s="24" t="str">
        <x:v>Cross-functional investigation + Quality Unit</x:v>
      </x:c>
      <x:c r="E9" s="24" t="str">
        <x:v>Critical</x:v>
      </x:c>
      <x:c r="F9" s="24" t="str">
        <x:v>Before closing review window</x:v>
      </x:c>
      <x:c r="G9" s="24" t="str">
        <x:v>Open</x:v>
      </x:c>
      <x:c r="H9" s="24" t="str">
        <x:v>Authorized interpretation, product/validation impact, actions and effectiveness plan</x:v>
      </x:c>
    </x:row>
  </x:sheetData>
  <x:mergeCells>
    <x:mergeCell ref="A1:H1"/>
    <x:mergeCell ref="A2:H2"/>
  </x:mergeCells>
  <x:conditionalFormatting sqref="G5:G9">
    <x:cfRule type="containsText" dxfId="32" priority="1" operator="containsText" text="Open"/>
  </x:conditionalFormatting>
  <x:dataValidations count="2">
    <x:dataValidation type="list" sqref="E5:E9">
      <x:formula1>"Low,Medium,High,Critical"</x:formula1>
    </x:dataValidation>
    <x:dataValidation type="list" sqref="G5:G9">
      <x:formula1>"Not started,Open,Closed,Deferred"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4" hidden="0" customWidth="1"/>
    <x:col min="3" max="3" width="51" hidden="0" customWidth="1"/>
    <x:col min="4" max="4" width="30" hidden="0" customWidth="1"/>
    <x:col min="5" max="5" width="62" hidden="0" customWidth="1"/>
    <x:col min="6" max="6" width="64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0" customHeight="1">
      <x:c r="A2" s="7" t="str">
        <x:v>Official-source locators, applicability, limitations and review record for this under-review package.</x:v>
      </x:c>
      <x:c r="B2" s="7"/>
      <x:c r="C2" s="7"/>
      <x:c r="D2" s="7"/>
      <x:c r="E2" s="7"/>
      <x:c r="F2" s="7"/>
    </x:row>
    <x:row r="4" ht="32" customHeight="1">
      <x:c r="A4" s="19" t="str">
        <x:v>Source ID</x:v>
      </x:c>
      <x:c r="B4" s="19" t="str">
        <x:v>Publisher</x:v>
      </x:c>
      <x:c r="C4" s="19" t="str">
        <x:v>Title</x:v>
      </x:c>
      <x:c r="D4" s="19" t="str">
        <x:v>Edition</x:v>
      </x:c>
      <x:c r="E4" s="19" t="str">
        <x:v>Official URL</x:v>
      </x:c>
      <x:c r="F4" s="19" t="str">
        <x:v>Applicability and limitations</x:v>
      </x:c>
    </x:row>
    <x:row r="5" ht="52" customHeight="1">
      <x:c r="A5" s="24" t="str">
        <x:v>FDA-PROCESS-VALIDATION-2011</x:v>
      </x:c>
      <x:c r="B5" s="24" t="str">
        <x:v>FDA</x:v>
      </x:c>
      <x:c r="C5" s="24" t="str">
        <x:v>Process Validation: General Principles and Practices</x:v>
      </x:c>
      <x:c r="D5" s="24" t="str">
        <x:v>Final guidance, January 2011</x:v>
      </x:c>
      <x:c r="E5" s="24" t="str">
        <x:v>https://www.fda.gov/regulatory-information/search-fda-guidance-documents/process-validation-general-principles-and-practices</x:v>
      </x:c>
      <x:c r="F5" s="24" t="str">
        <x:v>US nonbinding guidance; no universal batch count, sampling design, statistical method or signal rule.</x:v>
      </x:c>
    </x:row>
    <x:row r="6" ht="52" customHeight="1">
      <x:c r="A6" s="24" t="str">
        <x:v>EMA-BIOLOGICS-PROCESS-VALIDATION-2016</x:v>
      </x:c>
      <x:c r="B6" s="24" t="str">
        <x:v>EMA</x:v>
      </x:c>
      <x:c r="C6" s="24" t="str">
        <x:v>Process validation for biotechnology-derived active substances</x:v>
      </x:c>
      <x:c r="D6" s="24" t="str">
        <x:v>EMA/CHMP/BWP/187338/2014; effective 2016-11-01</x:v>
      </x:c>
      <x:c r="E6" s="24" t="str">
        <x:v>https://www.ema.europa.eu/en/documents/scientific-guideline/guideline-process-validation-manufacture-biotechnology-derived-active-substances-and-data-be-provided-regulatory-submission_en.pdf</x:v>
      </x:c>
      <x:c r="F6" s="24" t="str">
        <x:v>Confirm biotechnology-derived protein active-substance and EU regulatory applicability.</x:v>
      </x:c>
    </x:row>
    <x:row r="7" ht="52" customHeight="1">
      <x:c r="A7" s="24" t="str">
        <x:v>EU-GMP-ANNEX15-2015</x:v>
      </x:c>
      <x:c r="B7" s="24" t="str">
        <x:v>European Commission</x:v>
      </x:c>
      <x:c r="C7" s="24" t="str">
        <x:v>EudraLex Volume 4 Annex 15: Qualification and Validation</x:v>
      </x:c>
      <x:c r="D7" s="24" t="str">
        <x:v>Revision effective 2015-10-01</x:v>
      </x:c>
      <x:c r="E7" s="24" t="str">
        <x:v>https://health.ec.europa.eu/document/download/7c6c5b3c-4902-46ea-b7ab-7608682fb68d_en?filename=2015-10_annex15.pdf</x:v>
      </x:c>
      <x:c r="F7" s="24" t="str">
        <x:v>Confirm current EU GMP status and site applicability; suggested stages do not define a universal protocol.</x:v>
      </x:c>
    </x:row>
    <x:row r="8" ht="52" customHeight="1">
      <x:c r="A8" s="24" t="str">
        <x:v>ICH-Q8-R2</x:v>
      </x:c>
      <x:c r="B8" s="24" t="str">
        <x:v>ICH</x:v>
      </x:c>
      <x:c r="C8" s="24" t="str">
        <x:v>Pharmaceutical Development Q8(R2)</x:v>
      </x:c>
      <x:c r="D8" s="24" t="str">
        <x:v>Step 4</x:v>
      </x:c>
      <x:c r="E8" s="24" t="str">
        <x:v>https://database.ich.org/sites/default/files/Q8%28R2%29%20Guideline.pdf</x:v>
      </x:c>
      <x:c r="F8" s="24" t="str">
        <x:v>No product-specific CQA, parameter, range, design space or control strategy is supplied.</x:v>
      </x:c>
    </x:row>
    <x:row r="9" ht="52" customHeight="1">
      <x:c r="A9" s="24" t="str">
        <x:v>ICH-Q11</x:v>
      </x:c>
      <x:c r="B9" s="24" t="str">
        <x:v>ICH</x:v>
      </x:c>
      <x:c r="C9" s="24" t="str">
        <x:v>Development and Manufacture of Drug Substances Q11</x:v>
      </x:c>
      <x:c r="D9" s="24" t="str">
        <x:v>Step 4</x:v>
      </x:c>
      <x:c r="E9" s="24" t="str">
        <x:v>https://database.ich.org/sites/default/files/Q11_Guideline.pdf</x:v>
      </x:c>
      <x:c r="F9" s="24" t="str">
        <x:v>Retain drug-substance, biotechnology/biological and regional implementation boundaries.</x:v>
      </x:c>
    </x:row>
    <x:row r="10" ht="52" customHeight="1">
      <x:c r="A10" s="24" t="str">
        <x:v>ICH-Q9-R1</x:v>
      </x:c>
      <x:c r="B10" s="24" t="str">
        <x:v>ICH</x:v>
      </x:c>
      <x:c r="C10" s="24" t="str">
        <x:v>Quality Risk Management Q9(R1)</x:v>
      </x:c>
      <x:c r="D10" s="24" t="str">
        <x:v>Step 4</x:v>
      </x:c>
      <x:c r="E10" s="24" t="str">
        <x:v>https://database.ich.org/sites/default/files/ICH_Q9-R1_Guideline_Step4_2022_1219.pdf</x:v>
      </x:c>
      <x:c r="F10" s="24" t="str">
        <x:v>Risk ranking cannot create missing evidence or authorize validation or disposition.</x:v>
      </x:c>
    </x:row>
    <x:row r="11" ht="52" customHeight="1">
      <x:c r="A11" s="24" t="str">
        <x:v>ICH-Q10</x:v>
      </x:c>
      <x:c r="B11" s="24" t="str">
        <x:v>ICH</x:v>
      </x:c>
      <x:c r="C11" s="24" t="str">
        <x:v>Pharmaceutical Quality System Q10</x:v>
      </x:c>
      <x:c r="D11" s="24" t="str">
        <x:v>Step 4</x:v>
      </x:c>
      <x:c r="E11" s="24" t="str">
        <x:v>https://database.ich.org/sites/default/files/Q10_Guideline.pdf</x:v>
      </x:c>
      <x:c r="F11" s="24" t="str">
        <x:v>PQS completion does not prove process performance or approve a batch.</x:v>
      </x:c>
    </x:row>
    <x:row r="12" ht="52" customHeight="1">
      <x:c r="A12" s="24" t="str">
        <x:v>ICH-Q5E</x:v>
      </x:c>
      <x:c r="B12" s="24" t="str">
        <x:v>ICH</x:v>
      </x:c>
      <x:c r="C12" s="24" t="str">
        <x:v>Comparability of Biotechnological/Biological Products Q5E</x:v>
      </x:c>
      <x:c r="D12" s="24" t="str">
        <x:v>Step 4</x:v>
      </x:c>
      <x:c r="E12" s="24" t="str">
        <x:v>https://database.ich.org/sites/default/files/Q5E%20Guideline.pdf</x:v>
      </x:c>
      <x:c r="F12" s="24" t="str">
        <x:v>Validation and comparability answer related but different questions.</x:v>
      </x:c>
    </x:row>
    <x:row r="13" ht="52" customHeight="1">
      <x:c r="A13" s="24" t="str">
        <x:v>ICH-Q6B</x:v>
      </x:c>
      <x:c r="B13" s="24" t="str">
        <x:v>ICH</x:v>
      </x:c>
      <x:c r="C13" s="24" t="str">
        <x:v>Specifications for Biotechnological/Biological Products Q6B</x:v>
      </x:c>
      <x:c r="D13" s="24" t="str">
        <x:v>Step 4</x:v>
      </x:c>
      <x:c r="E13" s="24" t="str">
        <x:v>https://database.ich.org/sites/default/files/Q6B_Guideline.pdf</x:v>
      </x:c>
      <x:c r="F13" s="24" t="str">
        <x:v>Specification conformance does not replace characterization or process-state assessment.</x:v>
      </x:c>
    </x:row>
    <x:row r="14" ht="52" customHeight="1">
      <x:c r="A14" s="17"/>
      <x:c r="B14" s="17"/>
      <x:c r="C14" s="17"/>
      <x:c r="D14" s="17"/>
      <x:c r="E14" s="17"/>
      <x:c r="F14" s="17"/>
    </x:row>
    <x:row r="15" ht="52" customHeight="1">
      <x:c r="A15" s="33" t="str">
        <x:v>Control field</x:v>
      </x:c>
      <x:c r="B15" s="33" t="str">
        <x:v>Value</x:v>
      </x:c>
      <x:c r="C15" s="17"/>
      <x:c r="D15" s="17"/>
      <x:c r="E15" s="17"/>
      <x:c r="F15" s="17"/>
    </x:row>
    <x:row r="16" ht="52" customHeight="1">
      <x:c r="A16" s="24" t="str">
        <x:v>Content version</x:v>
      </x:c>
      <x:c r="B16" s="24" t="str">
        <x:v>1.0.0-review</x:v>
      </x:c>
      <x:c r="C16" s="17"/>
      <x:c r="D16" s="17"/>
      <x:c r="E16" s="17"/>
      <x:c r="F16" s="17"/>
    </x:row>
    <x:row r="17" ht="52" customHeight="1">
      <x:c r="A17" s="24" t="str">
        <x:v>Review status</x:v>
      </x:c>
      <x:c r="B17" s="24" t="str">
        <x:v>under-review</x:v>
      </x:c>
      <x:c r="C17" s="17"/>
      <x:c r="D17" s="17"/>
      <x:c r="E17" s="17"/>
      <x:c r="F17" s="17"/>
    </x:row>
    <x:row r="18" ht="52" customHeight="1">
      <x:c r="A18" s="24" t="str">
        <x:v>Reviewed by role</x:v>
      </x:c>
      <x:c r="B18" s="24" t="str">
        <x:v>Not yet recorded</x:v>
      </x:c>
      <x:c r="C18" s="17"/>
      <x:c r="D18" s="17"/>
      <x:c r="E18" s="17"/>
      <x:c r="F18" s="17"/>
    </x:row>
    <x:row r="19" ht="52" customHeight="1">
      <x:c r="A19" s="24" t="str">
        <x:v>Last reviewed</x:v>
      </x:c>
      <x:c r="B19" s="24" t="str">
        <x:v>Not yet recorded</x:v>
      </x:c>
      <x:c r="C19" s="17"/>
      <x:c r="D19" s="17"/>
      <x:c r="E19" s="17"/>
      <x:c r="F19" s="17"/>
    </x:row>
    <x:row r="20" ht="52" customHeight="1">
      <x:c r="A20" s="24" t="str">
        <x:v>Review due</x:v>
      </x:c>
      <x:c r="B20" s="24" t="str">
        <x:v>Before controlled use or after product/process/site/source change</x:v>
      </x:c>
      <x:c r="C20" s="17"/>
      <x:c r="D20" s="17"/>
      <x:c r="E20" s="17"/>
      <x:c r="F20" s="17"/>
    </x:row>
    <x:row r="21" ht="52" customHeight="1">
      <x:c r="A21" s="24" t="str">
        <x:v>Decision boundary</x:v>
      </x:c>
      <x:c r="B21" s="24" t="str">
        <x:v>Workbook completeness is not validation approval, routine authorization, regulatory acceptance or batch disposition.</x:v>
      </x:c>
      <x:c r="C21" s="17"/>
      <x:c r="D21" s="17"/>
      <x:c r="E21" s="17"/>
      <x:c r="F21" s="17"/>
    </x:row>
    <x:row r="22" ht="52" customHeight="1">
      <x:c r="A22" s="24" t="str">
        <x:v>Critical limitation</x:v>
      </x:c>
      <x:c r="B22" s="24" t="str">
        <x:v>A statistical signal is not automatically a batch failure.</x:v>
      </x:c>
      <x:c r="C22" s="17"/>
      <x:c r="D22" s="17"/>
      <x:c r="E22" s="17"/>
      <x:c r="F22" s="17"/>
    </x:row>
    <x:row r="23" ht="52" customHeight="1">
      <x:c r="A23" s="24" t="str">
        <x:v>Critical limitation</x:v>
      </x:c>
      <x:c r="B23" s="24" t="str">
        <x:v>A within-specification result does not automatically establish a maintained state of control.</x:v>
      </x:c>
      <x:c r="C23" s="17"/>
      <x:c r="D23" s="17"/>
      <x:c r="E23" s="17"/>
      <x:c r="F23" s="17"/>
    </x:row>
    <x:row r="24" ht="52" customHeight="1">
      <x:c r="A24" s="24" t="str">
        <x:v>Fictional-data boundary</x:v>
      </x:c>
      <x:c r="B24" s="24" t="str">
        <x:v>Normalized values and entered thresholds are demonstration data, not platform knowledge or reusable limits.</x:v>
      </x:c>
      <x:c r="C24" s="17"/>
      <x:c r="D24" s="17"/>
      <x:c r="E24" s="17"/>
      <x:c r="F24" s="17"/>
    </x:row>
  </x:sheetData>
  <x:mergeCells>
    <x:mergeCell ref="A1:F1"/>
    <x:mergeCell ref="A2:F2"/>
  </x:mergeCells>
  <x:pageMargins left="0.7" right="0.7" top="0.75" bottom="0.75" header="0.3" footer="0.3"/>
</x:worksheet>
</file>