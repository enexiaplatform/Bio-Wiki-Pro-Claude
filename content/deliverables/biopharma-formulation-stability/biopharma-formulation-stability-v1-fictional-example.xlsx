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72a1c78ca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84d6307202b94bbe"/>
    <x:sheet xmlns:r="http://schemas.openxmlformats.org/officeDocument/2006/relationships" name="Decision Brief" sheetId="2" r:id="Ra9286909ed774d33"/>
    <x:sheet xmlns:r="http://schemas.openxmlformats.org/officeDocument/2006/relationships" name="Quality &amp; Pathways" sheetId="3" r:id="R42e5426670464f17"/>
    <x:sheet xmlns:r="http://schemas.openxmlformats.org/officeDocument/2006/relationships" name="Formulation Map" sheetId="4" r:id="R9b18c296447b4d81"/>
    <x:sheet xmlns:r="http://schemas.openxmlformats.org/officeDocument/2006/relationships" name="Process &amp; Fill" sheetId="5" r:id="R6730c8af25d8411e"/>
    <x:sheet xmlns:r="http://schemas.openxmlformats.org/officeDocument/2006/relationships" name="Stability Plan" sheetId="6" r:id="R713229e61cb341ee"/>
    <x:sheet xmlns:r="http://schemas.openxmlformats.org/officeDocument/2006/relationships" name="Evidence Register" sheetId="7" r:id="R462900d3945e44c4"/>
    <x:sheet xmlns:r="http://schemas.openxmlformats.org/officeDocument/2006/relationships" name="Review &amp; Actions" sheetId="8" r:id="R78de26b63f2f47ea"/>
    <x:sheet xmlns:r="http://schemas.openxmlformats.org/officeDocument/2006/relationships" name="Sources &amp; Control" sheetId="9" r:id="Rf2cd8bb1b65e42bf"/>
    <x:sheet xmlns:r="http://schemas.openxmlformats.org/officeDocument/2006/relationships" name="Lists" sheetId="10" r:id="Rd5529c607af0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 wrapText="1"/>
    </x:xf>
    <x:xf numFmtId="0" fontId="9" fillId="8" borderId="14" xfId="0" applyNumberFormat="1" applyFont="1" applyFill="1" applyBorder="1" applyAlignment="1">
      <x:alignment vertical="top" wrapText="1"/>
    </x:xf>
    <x:xf numFmtId="0" fontId="9" fillId="4" borderId="12" xfId="0" applyNumberFormat="1" applyFont="1" applyFill="1" applyBorder="1" applyAlignment="1">
      <x:alignment vertical="top" wrapText="1"/>
    </x:xf>
    <x:xf numFmtId="0" fontId="9" fillId="4" borderId="13" xfId="0" applyNumberFormat="1" applyFont="1" applyFill="1" applyBorder="1" applyAlignment="1">
      <x:alignment vertical="top" wrapText="1"/>
    </x:xf>
    <x:xf numFmtId="0" fontId="9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9" fillId="8" borderId="12" xfId="0" applyNumberFormat="1" applyFont="1" applyFill="1" applyBorder="1" applyAlignment="1">
      <x:alignment vertical="top" wrapText="1"/>
    </x:xf>
    <x:xf numFmtId="200" fontId="9" fillId="8" borderId="13" xfId="0" applyNumberFormat="1" applyFont="1" applyFill="1" applyBorder="1" applyAlignment="1">
      <x:alignment vertical="top" wrapText="1"/>
    </x:xf>
    <x:xf numFmtId="200" fontId="9" fillId="8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5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1a9db5ca543de" /><Relationship Type="http://schemas.openxmlformats.org/officeDocument/2006/relationships/theme" Target="/xl/theme/theme1.xml" Id="Rf1ebd6f310c145f3" /><Relationship Type="http://schemas.openxmlformats.org/officeDocument/2006/relationships/sharedStrings" Target="/xl/sharedStrings.xml" Id="Rda76a16395644199" /><Relationship Type="http://schemas.openxmlformats.org/officeDocument/2006/relationships/worksheet" Target="/xl/worksheets/sheet1.xml" Id="R84d6307202b94bbe" /><Relationship Type="http://schemas.openxmlformats.org/officeDocument/2006/relationships/worksheet" Target="/xl/worksheets/sheet2.xml" Id="Ra9286909ed774d33" /><Relationship Type="http://schemas.openxmlformats.org/officeDocument/2006/relationships/worksheet" Target="/xl/worksheets/sheet3.xml" Id="R42e5426670464f17" /><Relationship Type="http://schemas.openxmlformats.org/officeDocument/2006/relationships/worksheet" Target="/xl/worksheets/sheet4.xml" Id="R9b18c296447b4d81" /><Relationship Type="http://schemas.openxmlformats.org/officeDocument/2006/relationships/worksheet" Target="/xl/worksheets/sheet5.xml" Id="R6730c8af25d8411e" /><Relationship Type="http://schemas.openxmlformats.org/officeDocument/2006/relationships/worksheet" Target="/xl/worksheets/sheet6.xml" Id="R713229e61cb341ee" /><Relationship Type="http://schemas.openxmlformats.org/officeDocument/2006/relationships/worksheet" Target="/xl/worksheets/sheet7.xml" Id="R462900d3945e44c4" /><Relationship Type="http://schemas.openxmlformats.org/officeDocument/2006/relationships/worksheet" Target="/xl/worksheets/sheet8.xml" Id="R78de26b63f2f47ea" /><Relationship Type="http://schemas.openxmlformats.org/officeDocument/2006/relationships/worksheet" Target="/xl/worksheets/sheet9.xml" Id="Rf2cd8bb1b65e42bf" /><Relationship Type="http://schemas.openxmlformats.org/officeDocument/2006/relationships/worksheet" Target="/xl/worksheets/sheet10.xml" Id="Rd5529c607af04bd3" /><Relationship Type="http://schemas.microsoft.com/office/2017/10/relationships/person" Target="/xl/persons/person.xml" Id="Rdfc47ba53eea489c" /></Relationships>
</file>

<file path=xl/persons/person.xml><?xml version="1.0" encoding="utf-8"?>
<xltc:personList xmlns:xltc="http://schemas.microsoft.com/office/spreadsheetml/2018/threadedcomments">
  <xltc:person displayName="User" id="{1C79C9E7-E9D2-48CB-AA1D-607E2C81DF5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Formulation &amp; Stability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No platform formulation, parameters, conditions, schedules, criteria, shelf life, validation, or regulatory conclusion</x:v>
      </x:c>
      <x:c r="B2" s="7"/>
      <x:c r="C2" s="7"/>
      <x:c r="D2" s="7"/>
      <x:c r="E2" s="7"/>
      <x:c r="F2" s="7"/>
    </x:row>
    <x:row r="4">
      <x:c r="A4" s="8" t="str">
        <x:v>Current decision status</x:v>
      </x:c>
      <x:c r="B4" s="11" t="str">
        <x:f>'Decision Brief'!B18</x:f>
        <x:v>Qualified review required</x:v>
      </x:c>
    </x:row>
    <x:row r="5">
      <x:c r="A5" s="8" t="str">
        <x:v>Quality / pathway records</x:v>
      </x:c>
      <x:c r="B5" s="10" t="n">
        <x:f>'Decision Brief'!B9</x:f>
        <x:v>7</x:v>
      </x:c>
    </x:row>
    <x:row r="6">
      <x:c r="A6" s="8" t="str">
        <x:v>Formulation records</x:v>
      </x:c>
      <x:c r="B6" s="10" t="n">
        <x:f>'Decision Brief'!B10</x:f>
        <x:v>6</x:v>
      </x:c>
    </x:row>
    <x:row r="7">
      <x:c r="A7" s="8" t="str">
        <x:v>Process / fill records</x:v>
      </x:c>
      <x:c r="B7" s="10" t="n">
        <x:f>'Decision Brief'!B11</x:f>
        <x:v>6</x:v>
      </x:c>
    </x:row>
    <x:row r="8">
      <x:c r="A8" s="8" t="str">
        <x:v>Stability studies</x:v>
      </x:c>
      <x:c r="B8" s="10" t="n">
        <x:f>'Decision Brief'!B12</x:f>
        <x:v>6</x:v>
      </x:c>
    </x:row>
    <x:row r="9">
      <x:c r="A9" s="8" t="str">
        <x:v>Evidence records</x:v>
      </x:c>
      <x:c r="B9" s="10" t="n">
        <x:f>'Decision Brief'!B13</x:f>
        <x:v>10</x:v>
      </x:c>
    </x:row>
    <x:row r="10">
      <x:c r="A10" s="8" t="str">
        <x:v>Incomplete records</x:v>
      </x:c>
      <x:c r="B10" s="10" t="n">
        <x:f>'Decision Brief'!B14</x:f>
        <x:v>0</x:v>
      </x:c>
    </x:row>
    <x:row r="11">
      <x:c r="A11" s="8" t="str">
        <x:v>Evidence-required records</x:v>
      </x:c>
      <x:c r="B11" s="10" t="n">
        <x:f>'Decision Brief'!B15</x:f>
        <x:v>0</x:v>
      </x:c>
    </x:row>
    <x:row r="12">
      <x:c r="A12" s="8" t="str">
        <x:v>Open / review-required records</x:v>
      </x:c>
      <x:c r="B12" s="10" t="n">
        <x:f>'Decision Brief'!B16+'Decision Brief'!B17</x:f>
        <x:v>23</x:v>
      </x:c>
    </x:row>
    <x:row r="14">
      <x:c r="A14" s="13" t="str">
        <x:v>How to use this workbook</x:v>
      </x:c>
      <x:c r="B14" s="13"/>
      <x:c r="C14" s="13"/>
      <x:c r="D14" s="13"/>
      <x:c r="E14" s="13"/>
      <x:c r="F14" s="13"/>
    </x:row>
    <x:row r="15">
      <x:c r="A15" s="16" t="str">
        <x:v>1. Freeze one product, presentation, process, and decision scope.</x:v>
      </x:c>
      <x:c r="B15" s="16"/>
      <x:c r="C15" s="16"/>
      <x:c r="D15" s="16"/>
      <x:c r="E15" s="16"/>
      <x:c r="F15" s="16"/>
    </x:row>
    <x:row r="16">
      <x:c r="A16" s="16" t="str">
        <x:v>2. Map product-quality attributes and proposed degradation pathways.</x:v>
      </x:c>
      <x:c r="B16" s="16"/>
      <x:c r="C16" s="16"/>
      <x:c r="D16" s="16"/>
      <x:c r="E16" s="16"/>
      <x:c r="F16" s="16"/>
    </x:row>
    <x:row r="17">
      <x:c r="A17" s="16" t="str">
        <x:v>3. Record formulation components as hypotheses with evidence and limitations.</x:v>
      </x:c>
      <x:c r="B17" s="16"/>
      <x:c r="C17" s="16"/>
      <x:c r="D17" s="16"/>
      <x:c r="E17" s="16"/>
      <x:c r="F17" s="16"/>
    </x:row>
    <x:row r="18">
      <x:c r="A18" s="16" t="str">
        <x:v>4. Trace actual compounding, filtration, hold, fill, closing, handling, shipping, and use exposures.</x:v>
      </x:c>
      <x:c r="B18" s="16"/>
      <x:c r="C18" s="16"/>
      <x:c r="D18" s="16"/>
      <x:c r="E18" s="16"/>
      <x:c r="F18" s="16"/>
    </x:row>
    <x:row r="19">
      <x:c r="A19" s="16" t="str">
        <x:v>5. Map the complete presentation and distinguish component conformance from system suitability.</x:v>
      </x:c>
      <x:c r="B19" s="16"/>
      <x:c r="C19" s="16"/>
      <x:c r="D19" s="16"/>
      <x:c r="E19" s="16"/>
      <x:c r="F19" s="16"/>
    </x:row>
    <x:row r="20">
      <x:c r="A20" s="16" t="str">
        <x:v>6. Build product-specific stability studies and analytical coverage; do not copy conditions or schedules.</x:v>
      </x:c>
      <x:c r="B20" s="16"/>
      <x:c r="C20" s="16"/>
      <x:c r="D20" s="16"/>
      <x:c r="E20" s="16"/>
      <x:c r="F20" s="16"/>
    </x:row>
    <x:row r="21">
      <x:c r="A21" s="16" t="str">
        <x:v>7. Preserve contradictory evidence, method limits, commitments, and lifecycle triggers.</x:v>
      </x:c>
      <x:c r="B21" s="16"/>
      <x:c r="C21" s="16"/>
      <x:c r="D21" s="16"/>
      <x:c r="E21" s="16"/>
      <x:c r="F21" s="16"/>
    </x:row>
    <x:row r="22">
      <x:c r="A22" s="16" t="str">
        <x:v>8. Resolve every Incomplete, Evidence required, or Review required flag.</x:v>
      </x:c>
      <x:c r="B22" s="16"/>
      <x:c r="C22" s="16"/>
      <x:c r="D22" s="16"/>
      <x:c r="E22" s="16"/>
      <x:c r="F22" s="16"/>
    </x:row>
    <x:row r="23">
      <x:c r="A23" s="16" t="str">
        <x:v>9. Obtain qualified cross-functional review and transfer approved content into the controlled system.</x:v>
      </x:c>
      <x:c r="B23" s="16"/>
      <x:c r="C23" s="16"/>
      <x:c r="D23" s="16"/>
      <x:c r="E23" s="16"/>
      <x:c r="F23" s="16"/>
    </x:row>
    <x:row r="25">
      <x:c r="A25" s="19" t="str">
        <x:v>Critical boundary: the fictional example demonstrates use only. It is not a formulation, presentation, process, condition, schedule, limit, shelf-life, validation, comparability, filing, or sterility benchmark.</x:v>
      </x:c>
      <x:c r="B25" s="19"/>
      <x:c r="C25" s="19"/>
      <x:c r="D25" s="19"/>
      <x:c r="E25" s="19"/>
      <x:c r="F25" s="19"/>
    </x:row>
    <x:row r="26">
      <x:c r="A26" s="19"/>
      <x:c r="B26" s="19"/>
      <x:c r="C26" s="19"/>
      <x:c r="D26" s="19"/>
      <x:c r="E26" s="19"/>
      <x:c r="F26" s="19"/>
    </x:row>
    <x:row r="27">
      <x:c r="A27" s="19"/>
      <x:c r="B27" s="19"/>
      <x:c r="C27" s="19"/>
      <x:c r="D27" s="19"/>
      <x:c r="E27" s="19"/>
      <x:c r="F27" s="19"/>
    </x:row>
  </x:sheetData>
  <x:mergeCells>
    <x:mergeCell ref="A1:F1"/>
    <x:mergeCell ref="A2:F2"/>
    <x:mergeCell ref="A14:F14"/>
    <x:mergeCell ref="A15:F15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5:F27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Freeze product, formulation, process, presentation, lifecycle, and decision scope before mapping evidence</x:v>
      </x:c>
      <x:c r="B2" s="7"/>
      <x:c r="C2" s="7"/>
      <x:c r="D2" s="7"/>
      <x:c r="E2" s="7"/>
      <x:c r="F2" s="7"/>
    </x:row>
    <x:row r="3">
      <x:c r="A3" s="20" t="str">
        <x:v>Decision statement</x:v>
      </x:c>
      <x:c r="B3" s="30" t="str">
        <x:v>Assess whether a proposed stopper supplier and revised filling-line hold/agitation sequence require additional product, process, container, stability, validation, comparability, or regulatory evidence before implementation.</x:v>
      </x:c>
      <x:c r="C3" s="31"/>
      <x:c r="D3" s="31"/>
      <x:c r="E3" s="31"/>
      <x:c r="F3" s="32"/>
    </x:row>
    <x:row r="4">
      <x:c r="A4" s="20" t="str">
        <x:v>Product / molecule ID and concentration context</x:v>
      </x:c>
      <x:c r="B4" s="33" t="str">
        <x:v>FIC-MAB-03 (fictional); liquid CHO-derived monoclonal antibody</x:v>
      </x:c>
      <x:c r="C4" s="34"/>
      <x:c r="D4" s="34"/>
      <x:c r="E4" s="34"/>
      <x:c r="F4" s="35"/>
    </x:row>
    <x:row r="5">
      <x:c r="A5" s="20" t="str">
        <x:v>Formulation and complete presentation</x:v>
      </x:c>
      <x:c r="B5" s="33" t="str">
        <x:v>Formulation F-09; fictional glass-vial/stopper presentation P-03; proposed stopper S-02</x:v>
      </x:c>
      <x:c r="C5" s="34"/>
      <x:c r="D5" s="34"/>
      <x:c r="E5" s="34"/>
      <x:c r="F5" s="35"/>
    </x:row>
    <x:row r="6">
      <x:c r="A6" s="20" t="str">
        <x:v>Process / fill-finish / site / scale scope</x:v>
      </x:c>
      <x:c r="B6" s="33" t="str">
        <x:v>Fill-finish process FF-04; fictional commercial site and scale; transport configuration T-02</x:v>
      </x:c>
      <x:c r="C6" s="34"/>
      <x:c r="D6" s="34"/>
      <x:c r="E6" s="34"/>
      <x:c r="F6" s="35"/>
    </x:row>
    <x:row r="7">
      <x:c r="A7" s="20" t="str">
        <x:v>Decision owner and review date</x:v>
      </x:c>
      <x:c r="B7" s="36" t="str">
        <x:v>Change owner with formulation, fill-finish/MSAT, analytical/stability, container, quality/validation, and regulatory review due 2026-09-25</x:v>
      </x:c>
      <x:c r="C7" s="37"/>
      <x:c r="D7" s="37"/>
      <x:c r="E7" s="37"/>
      <x:c r="F7" s="38"/>
    </x:row>
    <x:row r="9">
      <x:c r="A9" s="8" t="str">
        <x:v>Quality / pathway records</x:v>
      </x:c>
      <x:c r="B9" s="10" t="n">
        <x:f>COUNTA('Quality &amp; Pathways'!A6:A105)</x:f>
        <x:v>7</x:v>
      </x:c>
    </x:row>
    <x:row r="10">
      <x:c r="A10" s="8" t="str">
        <x:v>Formulation records</x:v>
      </x:c>
      <x:c r="B10" s="10" t="n">
        <x:f>COUNTA('Formulation Map'!A6:A105)</x:f>
        <x:v>6</x:v>
      </x:c>
    </x:row>
    <x:row r="11">
      <x:c r="A11" s="8" t="str">
        <x:v>Process / fill records</x:v>
      </x:c>
      <x:c r="B11" s="10" t="n">
        <x:f>COUNTA('Process &amp; Fill'!A6:A105)</x:f>
        <x:v>6</x:v>
      </x:c>
    </x:row>
    <x:row r="12">
      <x:c r="A12" s="8" t="str">
        <x:v>Stability studies</x:v>
      </x:c>
      <x:c r="B12" s="10" t="n">
        <x:f>COUNTA('Stability Plan'!A6:A105)</x:f>
        <x:v>6</x:v>
      </x:c>
    </x:row>
    <x:row r="13">
      <x:c r="A13" s="8" t="str">
        <x:v>Evidence records</x:v>
      </x:c>
      <x:c r="B13" s="10" t="n">
        <x:f>COUNTA('Evidence Register'!A6:A205)</x:f>
        <x:v>10</x:v>
      </x:c>
    </x:row>
    <x:row r="14">
      <x:c r="A14" s="8" t="str">
        <x:v>Incomplete records</x:v>
      </x:c>
      <x:c r="B14" s="10" t="n">
        <x:f>COUNTIF('Quality &amp; Pathways'!L6:L105,"Incomplete")+COUNTIF('Formulation Map'!N6:N105,"Incomplete")+COUNTIF('Process &amp; Fill'!Q6:Q105,"Incomplete")+COUNTIF('Stability Plan'!R6:R105,"Incomplete")+COUNTIF('Evidence Register'!K6:K205,"Incomplete")</x:f>
        <x:v>0</x:v>
      </x:c>
    </x:row>
    <x:row r="15">
      <x:c r="A15" s="8" t="str">
        <x:v>Evidence-required records</x:v>
      </x:c>
      <x:c r="B15" s="10" t="n">
        <x:f>COUNTIF('Quality &amp; Pathways'!L6:L105,"Evidence required")+COUNTIF('Formulation Map'!N6:N105,"Evidence required")+COUNTIF('Process &amp; Fill'!Q6:Q105,"Evidence required")+COUNTIF('Stability Plan'!R6:R105,"Evidence required")+COUNTIF('Evidence Register'!K6:K205,"Evidence required")</x:f>
        <x:v>0</x:v>
      </x:c>
    </x:row>
    <x:row r="16">
      <x:c r="A16" s="8" t="str">
        <x:v>Review-required records</x:v>
      </x:c>
      <x:c r="B16" s="10" t="n">
        <x:f>COUNTIF('Quality &amp; Pathways'!L6:L105,"Review required")+COUNTIF('Formulation Map'!N6:N105,"Review required")+COUNTIF('Process &amp; Fill'!Q6:Q105,"Review required")+COUNTIF('Stability Plan'!R6:R105,"Review required")+COUNTIF('Evidence Register'!K6:K205,"Review required")</x:f>
        <x:v>18</x:v>
      </x:c>
    </x:row>
    <x:row r="17">
      <x:c r="A17" s="8" t="str">
        <x:v>Open / overdue actions</x:v>
      </x:c>
      <x:c r="B17" s="10" t="n">
        <x:f>COUNTIF('Review &amp; Actions'!J6:J105,"Open")+COUNTIF('Review &amp; Actions'!J6:J105,"Overdue")+COUNTIF('Review &amp; Actions'!J6:J105,"Incomplete")</x:f>
        <x:v>5</x:v>
      </x:c>
    </x:row>
    <x:row r="18">
      <x:c r="A18" s="8" t="str">
        <x:v>Decision status</x:v>
      </x:c>
      <x:c r="B18" s="11" t="str">
        <x:f>IF(COUNTA(B3:B7)&lt;5,"Evidence required",IF(B14+B15&gt;0,"Evidence required",IF(B16+B17&gt;0,"Qualified review required","Review-ready draft")))</x:f>
        <x:v>Qualified review required</x:v>
      </x:c>
    </x:row>
    <x:row r="20">
      <x:c r="A20" s="39" t="str">
        <x:v>Decision boundary: Review-ready draft means structurally complete only. It does not establish formulation, mechanism, process, presentation, integrity, sterility assurance, stability protocol, storage condition, shelf life, validation, comparability, regulatory acceptance, or batch disposition.</x:v>
      </x:c>
      <x:c r="B20" s="39"/>
      <x:c r="C20" s="39"/>
      <x:c r="D20" s="39"/>
      <x:c r="E20" s="39"/>
      <x:c r="F20" s="39"/>
    </x:row>
    <x:row r="21">
      <x:c r="A21" s="39"/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20:F23"/>
  </x:mergeCells>
  <x:conditionalFormatting sqref="B18:B18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7" hidden="0" customWidth="1"/>
    <x:col min="4" max="4" width="38" hidden="0" customWidth="1"/>
    <x:col min="5" max="5" width="36" hidden="0" customWidth="1"/>
    <x:col min="6" max="6" width="36" hidden="0" customWidth="1"/>
    <x:col min="7" max="7" width="23" hidden="0" customWidth="1"/>
    <x:col min="8" max="8" width="34" hidden="0" customWidth="1"/>
    <x:col min="9" max="9" width="34" hidden="0" customWidth="1"/>
    <x:col min="10" max="10" width="18" hidden="0" customWidth="1"/>
    <x:col min="11" max="11" width="17" hidden="0" customWidth="1"/>
    <x:col min="12" max="12" width="22" hidden="0" customWidth="1"/>
  </x:cols>
  <x:sheetData>
    <x:row r="1" ht="28" customHeight="1">
      <x:c r="A1" s="3" t="str">
        <x:v>Quality &amp; Pathways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Map product attributes and degradation or interaction pathways without inferring causality from a single signal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4" customHeight="1">
      <x:c r="A5" s="47" t="str">
        <x:v>Record ID</x:v>
      </x:c>
      <x:c r="B5" s="48" t="str">
        <x:v>Attribute / pathway</x:v>
      </x:c>
      <x:c r="C5" s="48" t="str">
        <x:v>Quality class</x:v>
      </x:c>
      <x:c r="D5" s="48" t="str">
        <x:v>Product / patient / process relevance</x:v>
      </x:c>
      <x:c r="E5" s="48" t="str">
        <x:v>Proposed formation / trigger</x:v>
      </x:c>
      <x:c r="F5" s="48" t="str">
        <x:v>Measurement / analytical coverage</x:v>
      </x:c>
      <x:c r="G5" s="48" t="str">
        <x:v>Evidence strength</x:v>
      </x:c>
      <x:c r="H5" s="48" t="str">
        <x:v>Formulation / process / presentation links</x:v>
      </x:c>
      <x:c r="I5" s="48" t="str">
        <x:v>Controlled criterion / decision reference</x:v>
      </x:c>
      <x:c r="J5" s="48" t="str">
        <x:v>Evidence IDs</x:v>
      </x:c>
      <x:c r="K5" s="48" t="str">
        <x:v>Review status</x:v>
      </x:c>
      <x:c r="L5" s="49" t="str">
        <x:v>Attention</x:v>
      </x:c>
    </x:row>
    <x:row r="6">
      <x:c r="A6" s="60" t="str">
        <x:v>QPA-001</x:v>
      </x:c>
      <x:c r="B6" s="60" t="str">
        <x:v>Intended monomer and biological activity</x:v>
      </x:c>
      <x:c r="C6" s="60" t="str">
        <x:v>Intended product / activity</x:v>
      </x:c>
      <x:c r="D6" s="60" t="str">
        <x:v>Preserve intended structure and activity through manufacture, shipping, storage, and use.</x:v>
      </x:c>
      <x:c r="E6" s="60" t="str">
        <x:v>May change through interfaces, chemical or physical degradation, or handling.</x:v>
      </x:c>
      <x:c r="F6" s="60" t="str">
        <x:v>Orthogonal purity, structure, and activity methods under controlled references</x:v>
      </x:c>
      <x:c r="G6" s="60" t="str">
        <x:v>Multi-source support</x:v>
      </x:c>
      <x:c r="H6" s="60" t="str">
        <x:v>FORM-001; PROC-001; PROC-006; STAB-001</x:v>
      </x:c>
      <x:c r="I6" s="60" t="str">
        <x:v>Approved product-control reference</x:v>
      </x:c>
      <x:c r="J6" s="60" t="str">
        <x:v>EVD-001; EVD-004; EVD-005</x:v>
      </x:c>
      <x:c r="K6" s="60" t="str">
        <x:v>Reviewed</x:v>
      </x:c>
      <x:c r="L6" s="66" t="str">
        <x:f>IF(A6="","",IF(OR(B6="",C6="",D6="",E6="",F6="",G6="",H6="",I6="",J6="",K6=""),"Incomplete",IF(I6="Evidence required","Evidence required",IF(OR(G6="Hypothesis",G6="Observed association",G6="Contradictory or unresolved",K6&lt;&gt;"Reviewed"),"Review required","Ready for qualified review"))))</x:f>
        <x:v>Ready for qualified review</x:v>
      </x:c>
    </x:row>
    <x:row r="7">
      <x:c r="A7" s="61" t="str">
        <x:v>QPA-002</x:v>
      </x:c>
      <x:c r="B7" s="61" t="str">
        <x:v>Aggregate and particle profile</x:v>
      </x:c>
      <x:c r="C7" s="61" t="str">
        <x:v>Physical degradation</x:v>
      </x:c>
      <x:c r="D7" s="61" t="str">
        <x:v>Potential product-quality and safety relevance requires product-specific assessment.</x:v>
      </x:c>
      <x:c r="E7" s="61" t="str">
        <x:v>Competing hypotheses include interface, agitation, container, sample handling, and storage effects.</x:v>
      </x:c>
      <x:c r="F7" s="61" t="str">
        <x:v>Orthogonal size, particle, visual, and sample-handling methods</x:v>
      </x:c>
      <x:c r="G7" s="61" t="str">
        <x:v>Contradictory or unresolved</x:v>
      </x:c>
      <x:c r="H7" s="61" t="str">
        <x:v>FORM-003; FORM-006; PROC-003; PROC-006; STAB-004</x:v>
      </x:c>
      <x:c r="I7" s="61" t="str">
        <x:v>Controlled change-assessment conclusion pending</x:v>
      </x:c>
      <x:c r="J7" s="61" t="str">
        <x:v>EVD-004; EVD-006; EVD-007; EVD-009</x:v>
      </x:c>
      <x:c r="K7" s="61" t="str">
        <x:v>In review</x:v>
      </x:c>
      <x:c r="L7" s="67" t="str">
        <x:f>IF(A7="","",IF(OR(B7="",C7="",D7="",E7="",F7="",G7="",H7="",I7="",J7="",K7=""),"Incomplete",IF(I7="Evidence required","Evidence required",IF(OR(G7="Hypothesis",G7="Observed association",G7="Contradictory or unresolved",K7&lt;&gt;"Reviewed"),"Review required","Ready for qualified review"))))</x:f>
        <x:v>Review required</x:v>
      </x:c>
    </x:row>
    <x:row r="8">
      <x:c r="A8" s="61" t="str">
        <x:v>QPA-003</x:v>
      </x:c>
      <x:c r="B8" s="61" t="str">
        <x:v>Oxidation-sensitive attribute</x:v>
      </x:c>
      <x:c r="C8" s="61" t="str">
        <x:v>Chemical degradation</x:v>
      </x:c>
      <x:c r="D8" s="61" t="str">
        <x:v>May alter structure or activity depending on affected site and extent.</x:v>
      </x:c>
      <x:c r="E8" s="61" t="str">
        <x:v>Product, oxygen/headspace, light, material, and process exposure hypotheses.</x:v>
      </x:c>
      <x:c r="F8" s="61" t="str">
        <x:v>Controlled orthogonal structural and functional method references</x:v>
      </x:c>
      <x:c r="G8" s="61" t="str">
        <x:v>Observed association</x:v>
      </x:c>
      <x:c r="H8" s="61" t="str">
        <x:v>FORM-004; FORM-005; PROC-001; STAB-003</x:v>
      </x:c>
      <x:c r="I8" s="61" t="str">
        <x:v>Approved characterization reference; change assessment open</x:v>
      </x:c>
      <x:c r="J8" s="61" t="str">
        <x:v>EVD-004; EVD-005; EVD-008</x:v>
      </x:c>
      <x:c r="K8" s="61" t="str">
        <x:v>In review</x:v>
      </x:c>
      <x:c r="L8" s="67" t="str">
        <x:f>IF(A8="","",IF(OR(B8="",C8="",D8="",E8="",F8="",G8="",H8="",I8="",J8="",K8=""),"Incomplete",IF(I8="Evidence required","Evidence required",IF(OR(G8="Hypothesis",G8="Observed association",G8="Contradictory or unresolved",K8&lt;&gt;"Reviewed"),"Review required","Ready for qualified review"))))</x:f>
        <x:v>Review required</x:v>
      </x:c>
    </x:row>
    <x:row r="9">
      <x:c r="A9" s="61" t="str">
        <x:v>QPA-004</x:v>
      </x:c>
      <x:c r="B9" s="61" t="str">
        <x:v>Charge / fragmentation profile</x:v>
      </x:c>
      <x:c r="C9" s="61" t="str">
        <x:v>Product-related variant</x:v>
      </x:c>
      <x:c r="D9" s="61" t="str">
        <x:v>Profile change may reflect degradation, process, or analytical variation.</x:v>
      </x:c>
      <x:c r="E9" s="61" t="str">
        <x:v>Chemical change, hold, temperature, light, handling, or method/reference effects.</x:v>
      </x:c>
      <x:c r="F9" s="61" t="str">
        <x:v>Controlled charge, fragment, and orthogonal method references</x:v>
      </x:c>
      <x:c r="G9" s="61" t="str">
        <x:v>Designed-study support</x:v>
      </x:c>
      <x:c r="H9" s="61" t="str">
        <x:v>FORM-001; PROC-003; STAB-001</x:v>
      </x:c>
      <x:c r="I9" s="61" t="str">
        <x:v>Approved product-control reference</x:v>
      </x:c>
      <x:c r="J9" s="61" t="str">
        <x:v>EVD-004; EVD-005</x:v>
      </x:c>
      <x:c r="K9" s="61" t="str">
        <x:v>Reviewed</x:v>
      </x:c>
      <x:c r="L9" s="67" t="str">
        <x:f>IF(A9="","",IF(OR(B9="",C9="",D9="",E9="",F9="",G9="",H9="",I9="",J9="",K9=""),"Incomplete",IF(I9="Evidence required","Evidence required",IF(OR(G9="Hypothesis",G9="Observed association",G9="Contradictory or unresolved",K9&lt;&gt;"Reviewed"),"Review required","Ready for qualified review"))))</x:f>
        <x:v>Ready for qualified review</x:v>
      </x:c>
    </x:row>
    <x:row r="10">
      <x:c r="A10" s="61" t="str">
        <x:v>QPA-005</x:v>
      </x:c>
      <x:c r="B10" s="61" t="str">
        <x:v>Container/material interaction</x:v>
      </x:c>
      <x:c r="C10" s="61" t="str">
        <x:v>Container / material interaction</x:v>
      </x:c>
      <x:c r="D10" s="61" t="str">
        <x:v>Product-package interaction may affect quality, safety, or delivery performance.</x:v>
      </x:c>
      <x:c r="E10" s="61" t="str">
        <x:v>Stopper, vial, coating, lubricant, headspace, contact, and shipping hypotheses.</x:v>
      </x:c>
      <x:c r="F10" s="61" t="str">
        <x:v>Controlled compatibility, extractables/leachables, functional, and product methods</x:v>
      </x:c>
      <x:c r="G10" s="61" t="str">
        <x:v>Contradictory or unresolved</x:v>
      </x:c>
      <x:c r="H10" s="61" t="str">
        <x:v>FORM-006; PROC-005; STAB-006</x:v>
      </x:c>
      <x:c r="I10" s="61" t="str">
        <x:v>Controlled proposed-system conclusion pending</x:v>
      </x:c>
      <x:c r="J10" s="61" t="str">
        <x:v>EVD-007; EVD-008; EVD-009</x:v>
      </x:c>
      <x:c r="K10" s="61" t="str">
        <x:v>In review</x:v>
      </x:c>
      <x:c r="L10" s="67" t="str">
        <x:f>IF(A10="","",IF(OR(B10="",C10="",D10="",E10="",F10="",G10="",H10="",I10="",J10="",K10=""),"Incomplete",IF(I10="Evidence required","Evidence required",IF(OR(G10="Hypothesis",G10="Observed association",G10="Contradictory or unresolved",K10&lt;&gt;"Reviewed"),"Review required","Ready for qualified review"))))</x:f>
        <x:v>Review required</x:v>
      </x:c>
    </x:row>
    <x:row r="11">
      <x:c r="A11" s="61" t="str">
        <x:v>QPA-006</x:v>
      </x:c>
      <x:c r="B11" s="61" t="str">
        <x:v>Container integrity / microbial barrier</x:v>
      </x:c>
      <x:c r="C11" s="61" t="str">
        <x:v>Sterility / integrity interface</x:v>
      </x:c>
      <x:c r="D11" s="61" t="str">
        <x:v>Presentation must protect the sterile product through the applicable lifecycle.</x:v>
      </x:c>
      <x:c r="E11" s="61" t="str">
        <x:v>Component, assembly, closing, handling, shipping, aging, and test-method scope.</x:v>
      </x:c>
      <x:c r="F11" s="61" t="str">
        <x:v>Controlled integrity and presentation-system method references</x:v>
      </x:c>
      <x:c r="G11" s="61" t="str">
        <x:v>Designed-study support</x:v>
      </x:c>
      <x:c r="H11" s="61" t="str">
        <x:v>FORM-006; PROC-005; STAB-006</x:v>
      </x:c>
      <x:c r="I11" s="61" t="str">
        <x:v>Current system reference; proposed change review open</x:v>
      </x:c>
      <x:c r="J11" s="61" t="str">
        <x:v>EVD-003; EVD-007; EVD-008</x:v>
      </x:c>
      <x:c r="K11" s="61" t="str">
        <x:v>In review</x:v>
      </x:c>
      <x:c r="L11" s="67" t="str">
        <x:f>IF(A11="","",IF(OR(B11="",C11="",D11="",E11="",F11="",G11="",H11="",I11="",J11="",K11=""),"Incomplete",IF(I11="Evidence required","Evidence required",IF(OR(G11="Hypothesis",G11="Observed association",G11="Contradictory or unresolved",K11&lt;&gt;"Reviewed"),"Review required","Ready for qualified review"))))</x:f>
        <x:v>Review required</x:v>
      </x:c>
    </x:row>
    <x:row r="12">
      <x:c r="A12" s="61" t="str">
        <x:v>QPA-007</x:v>
      </x:c>
      <x:c r="B12" s="61" t="str">
        <x:v>Delivery and recoverable product performance</x:v>
      </x:c>
      <x:c r="C12" s="61" t="str">
        <x:v>Delivery / performance</x:v>
      </x:c>
      <x:c r="D12" s="61" t="str">
        <x:v>The presentation and preparation must support intended delivery without proving molecular quality alone.</x:v>
      </x:c>
      <x:c r="E12" s="61" t="str">
        <x:v>Container, closure, handling, preparation, withdrawal, and residual-volume interactions.</x:v>
      </x:c>
      <x:c r="F12" s="61" t="str">
        <x:v>Controlled functional and product-quantity method references</x:v>
      </x:c>
      <x:c r="G12" s="61" t="str">
        <x:v>Designed-study support</x:v>
      </x:c>
      <x:c r="H12" s="61" t="str">
        <x:v>FORM-006; PROC-005; STAB-005</x:v>
      </x:c>
      <x:c r="I12" s="61" t="str">
        <x:v>Approved presentation-performance reference</x:v>
      </x:c>
      <x:c r="J12" s="61" t="str">
        <x:v>EVD-007; EVD-008</x:v>
      </x:c>
      <x:c r="K12" s="61" t="str">
        <x:v>Reviewed</x:v>
      </x:c>
      <x:c r="L12" s="67" t="str">
        <x:f>IF(A12="","",IF(OR(B12="",C12="",D12="",E12="",F12="",G12="",H12="",I12="",J12="",K12=""),"Incomplete",IF(I12="Evidence required","Evidence required",IF(OR(G12="Hypothesis",G12="Observed association",G12="Contradictory or unresolved",K12&lt;&gt;"Reviewed"),"Review required","Ready for qualified review"))))</x:f>
        <x:v>Ready for qualified review</x:v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7" t="str">
        <x:f>IF(A13="","",IF(OR(B13="",C13="",D13="",E13="",F13="",G13="",H13="",I13="",J13="",K13=""),"Incomplete",IF(I13="Evidence required","Evidence required",IF(OR(G13="Hypothesis",G13="Observed association",G13="Contradictory or unresolved",K13&lt;&gt;"Reviewed"),"Review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7" t="str">
        <x:f>IF(A14="","",IF(OR(B14="",C14="",D14="",E14="",F14="",G14="",H14="",I14="",J14="",K14=""),"Incomplete",IF(I14="Evidence required","Evidence required",IF(OR(G14="Hypothesis",G14="Observed association",G14="Contradictory or unresolved",K14&lt;&gt;"Reviewed"),"Review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7" t="str">
        <x:f>IF(A15="","",IF(OR(B15="",C15="",D15="",E15="",F15="",G15="",H15="",I15="",J15="",K15=""),"Incomplete",IF(I15="Evidence required","Evidence required",IF(OR(G15="Hypothesis",G15="Observed association",G15="Contradictory or unresolved",K15&lt;&gt;"Reviewed"),"Review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7" t="str">
        <x:f>IF(A16="","",IF(OR(B16="",C16="",D16="",E16="",F16="",G16="",H16="",I16="",J16="",K16=""),"Incomplete",IF(I16="Evidence required","Evidence required",IF(OR(G16="Hypothesis",G16="Observed association",G16="Contradictory or unresolved",K16&lt;&gt;"Reviewed"),"Review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7" t="str">
        <x:f>IF(A17="","",IF(OR(B17="",C17="",D17="",E17="",F17="",G17="",H17="",I17="",J17="",K17=""),"Incomplete",IF(I17="Evidence required","Evidence required",IF(OR(G17="Hypothesis",G17="Observed association",G17="Contradictory or unresolved",K17&lt;&gt;"Reviewed"),"Review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7" t="str">
        <x:f>IF(A18="","",IF(OR(B18="",C18="",D18="",E18="",F18="",G18="",H18="",I18="",J18="",K18=""),"Incomplete",IF(I18="Evidence required","Evidence required",IF(OR(G18="Hypothesis",G18="Observed association",G18="Contradictory or unresolved",K18&lt;&gt;"Reviewed"),"Review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7" t="str">
        <x:f>IF(A19="","",IF(OR(B19="",C19="",D19="",E19="",F19="",G19="",H19="",I19="",J19="",K19=""),"Incomplete",IF(I19="Evidence required","Evidence required",IF(OR(G19="Hypothesis",G19="Observed association",G19="Contradictory or unresolved",K19&lt;&gt;"Reviewed"),"Review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7" t="str">
        <x:f>IF(A20="","",IF(OR(B20="",C20="",D20="",E20="",F20="",G20="",H20="",I20="",J20="",K20=""),"Incomplete",IF(I20="Evidence required","Evidence required",IF(OR(G20="Hypothesis",G20="Observed association",G20="Contradictory or unresolved",K20&lt;&gt;"Reviewed"),"Review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7" t="str">
        <x:f>IF(A21="","",IF(OR(B21="",C21="",D21="",E21="",F21="",G21="",H21="",I21="",J21="",K21=""),"Incomplete",IF(I21="Evidence required","Evidence required",IF(OR(G21="Hypothesis",G21="Observed association",G21="Contradictory or unresolved",K21&lt;&gt;"Reviewed"),"Review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7" t="str">
        <x:f>IF(A22="","",IF(OR(B22="",C22="",D22="",E22="",F22="",G22="",H22="",I22="",J22="",K22=""),"Incomplete",IF(I22="Evidence required","Evidence required",IF(OR(G22="Hypothesis",G22="Observed association",G22="Contradictory or unresolved",K22&lt;&gt;"Reviewed"),"Review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7" t="str">
        <x:f>IF(A23="","",IF(OR(B23="",C23="",D23="",E23="",F23="",G23="",H23="",I23="",J23="",K23=""),"Incomplete",IF(I23="Evidence required","Evidence required",IF(OR(G23="Hypothesis",G23="Observed association",G23="Contradictory or unresolved",K23&lt;&gt;"Reviewed"),"Review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7" t="str">
        <x:f>IF(A24="","",IF(OR(B24="",C24="",D24="",E24="",F24="",G24="",H24="",I24="",J24="",K24=""),"Incomplete",IF(I24="Evidence required","Evidence required",IF(OR(G24="Hypothesis",G24="Observed association",G24="Contradictory or unresolved",K24&lt;&gt;"Reviewed"),"Review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7" t="str">
        <x:f>IF(A25="","",IF(OR(B25="",C25="",D25="",E25="",F25="",G25="",H25="",I25="",J25="",K25=""),"Incomplete",IF(I25="Evidence required","Evidence required",IF(OR(G25="Hypothesis",G25="Observed association",G25="Contradictory or unresolved",K25&lt;&gt;"Reviewed"),"Review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7" t="str">
        <x:f>IF(A26="","",IF(OR(B26="",C26="",D26="",E26="",F26="",G26="",H26="",I26="",J26="",K26=""),"Incomplete",IF(I26="Evidence required","Evidence required",IF(OR(G26="Hypothesis",G26="Observed association",G26="Contradictory or unresolved",K26&lt;&gt;"Reviewed"),"Review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7" t="str">
        <x:f>IF(A27="","",IF(OR(B27="",C27="",D27="",E27="",F27="",G27="",H27="",I27="",J27="",K27=""),"Incomplete",IF(I27="Evidence required","Evidence required",IF(OR(G27="Hypothesis",G27="Observed association",G27="Contradictory or unresolved",K27&lt;&gt;"Reviewed"),"Review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7" t="str">
        <x:f>IF(A28="","",IF(OR(B28="",C28="",D28="",E28="",F28="",G28="",H28="",I28="",J28="",K28=""),"Incomplete",IF(I28="Evidence required","Evidence required",IF(OR(G28="Hypothesis",G28="Observed association",G28="Contradictory or unresolved",K28&lt;&gt;"Reviewed"),"Review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7" t="str">
        <x:f>IF(A29="","",IF(OR(B29="",C29="",D29="",E29="",F29="",G29="",H29="",I29="",J29="",K29=""),"Incomplete",IF(I29="Evidence required","Evidence required",IF(OR(G29="Hypothesis",G29="Observed association",G29="Contradictory or unresolved",K29&lt;&gt;"Reviewed"),"Review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7" t="str">
        <x:f>IF(A30="","",IF(OR(B30="",C30="",D30="",E30="",F30="",G30="",H30="",I30="",J30="",K30=""),"Incomplete",IF(I30="Evidence required","Evidence required",IF(OR(G30="Hypothesis",G30="Observed association",G30="Contradictory or unresolved",K30&lt;&gt;"Reviewed"),"Review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7" t="str">
        <x:f>IF(A31="","",IF(OR(B31="",C31="",D31="",E31="",F31="",G31="",H31="",I31="",J31="",K31=""),"Incomplete",IF(I31="Evidence required","Evidence required",IF(OR(G31="Hypothesis",G31="Observed association",G31="Contradictory or unresolved",K31&lt;&gt;"Reviewed"),"Review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7" t="str">
        <x:f>IF(A32="","",IF(OR(B32="",C32="",D32="",E32="",F32="",G32="",H32="",I32="",J32="",K32=""),"Incomplete",IF(I32="Evidence required","Evidence required",IF(OR(G32="Hypothesis",G32="Observed association",G32="Contradictory or unresolved",K32&lt;&gt;"Reviewed"),"Review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7" t="str">
        <x:f>IF(A33="","",IF(OR(B33="",C33="",D33="",E33="",F33="",G33="",H33="",I33="",J33="",K33=""),"Incomplete",IF(I33="Evidence required","Evidence required",IF(OR(G33="Hypothesis",G33="Observed association",G33="Contradictory or unresolved",K33&lt;&gt;"Reviewed"),"Review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7" t="str">
        <x:f>IF(A34="","",IF(OR(B34="",C34="",D34="",E34="",F34="",G34="",H34="",I34="",J34="",K34=""),"Incomplete",IF(I34="Evidence required","Evidence required",IF(OR(G34="Hypothesis",G34="Observed association",G34="Contradictory or unresolved",K34&lt;&gt;"Reviewed"),"Review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7" t="str">
        <x:f>IF(A35="","",IF(OR(B35="",C35="",D35="",E35="",F35="",G35="",H35="",I35="",J35="",K35=""),"Incomplete",IF(I35="Evidence required","Evidence required",IF(OR(G35="Hypothesis",G35="Observed association",G35="Contradictory or unresolved",K35&lt;&gt;"Reviewed"),"Review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7" t="str">
        <x:f>IF(A36="","",IF(OR(B36="",C36="",D36="",E36="",F36="",G36="",H36="",I36="",J36="",K36=""),"Incomplete",IF(I36="Evidence required","Evidence required",IF(OR(G36="Hypothesis",G36="Observed association",G36="Contradictory or unresolved",K36&lt;&gt;"Reviewed"),"Review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7" t="str">
        <x:f>IF(A37="","",IF(OR(B37="",C37="",D37="",E37="",F37="",G37="",H37="",I37="",J37="",K37=""),"Incomplete",IF(I37="Evidence required","Evidence required",IF(OR(G37="Hypothesis",G37="Observed association",G37="Contradictory or unresolved",K37&lt;&gt;"Reviewed"),"Review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7" t="str">
        <x:f>IF(A38="","",IF(OR(B38="",C38="",D38="",E38="",F38="",G38="",H38="",I38="",J38="",K38=""),"Incomplete",IF(I38="Evidence required","Evidence required",IF(OR(G38="Hypothesis",G38="Observed association",G38="Contradictory or unresolved",K38&lt;&gt;"Reviewed"),"Review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7" t="str">
        <x:f>IF(A39="","",IF(OR(B39="",C39="",D39="",E39="",F39="",G39="",H39="",I39="",J39="",K39=""),"Incomplete",IF(I39="Evidence required","Evidence required",IF(OR(G39="Hypothesis",G39="Observed association",G39="Contradictory or unresolved",K39&lt;&gt;"Reviewed"),"Review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7" t="str">
        <x:f>IF(A40="","",IF(OR(B40="",C40="",D40="",E40="",F40="",G40="",H40="",I40="",J40="",K40=""),"Incomplete",IF(I40="Evidence required","Evidence required",IF(OR(G40="Hypothesis",G40="Observed association",G40="Contradictory or unresolved",K40&lt;&gt;"Reviewed"),"Review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7" t="str">
        <x:f>IF(A41="","",IF(OR(B41="",C41="",D41="",E41="",F41="",G41="",H41="",I41="",J41="",K41=""),"Incomplete",IF(I41="Evidence required","Evidence required",IF(OR(G41="Hypothesis",G41="Observed association",G41="Contradictory or unresolved",K41&lt;&gt;"Reviewed"),"Review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7" t="str">
        <x:f>IF(A42="","",IF(OR(B42="",C42="",D42="",E42="",F42="",G42="",H42="",I42="",J42="",K42=""),"Incomplete",IF(I42="Evidence required","Evidence required",IF(OR(G42="Hypothesis",G42="Observed association",G42="Contradictory or unresolved",K42&lt;&gt;"Reviewed"),"Review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7" t="str">
        <x:f>IF(A43="","",IF(OR(B43="",C43="",D43="",E43="",F43="",G43="",H43="",I43="",J43="",K43=""),"Incomplete",IF(I43="Evidence required","Evidence required",IF(OR(G43="Hypothesis",G43="Observed association",G43="Contradictory or unresolved",K43&lt;&gt;"Reviewed"),"Review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7" t="str">
        <x:f>IF(A44="","",IF(OR(B44="",C44="",D44="",E44="",F44="",G44="",H44="",I44="",J44="",K44=""),"Incomplete",IF(I44="Evidence required","Evidence required",IF(OR(G44="Hypothesis",G44="Observed association",G44="Contradictory or unresolved",K44&lt;&gt;"Reviewed"),"Review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7" t="str">
        <x:f>IF(A45="","",IF(OR(B45="",C45="",D45="",E45="",F45="",G45="",H45="",I45="",J45="",K45=""),"Incomplete",IF(I45="Evidence required","Evidence required",IF(OR(G45="Hypothesis",G45="Observed association",G45="Contradictory or unresolved",K45&lt;&gt;"Reviewed"),"Review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7" t="str">
        <x:f>IF(A46="","",IF(OR(B46="",C46="",D46="",E46="",F46="",G46="",H46="",I46="",J46="",K46=""),"Incomplete",IF(I46="Evidence required","Evidence required",IF(OR(G46="Hypothesis",G46="Observed association",G46="Contradictory or unresolved",K46&lt;&gt;"Reviewed"),"Review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7" t="str">
        <x:f>IF(A47="","",IF(OR(B47="",C47="",D47="",E47="",F47="",G47="",H47="",I47="",J47="",K47=""),"Incomplete",IF(I47="Evidence required","Evidence required",IF(OR(G47="Hypothesis",G47="Observed association",G47="Contradictory or unresolved",K47&lt;&gt;"Reviewed"),"Review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7" t="str">
        <x:f>IF(A48="","",IF(OR(B48="",C48="",D48="",E48="",F48="",G48="",H48="",I48="",J48="",K48=""),"Incomplete",IF(I48="Evidence required","Evidence required",IF(OR(G48="Hypothesis",G48="Observed association",G48="Contradictory or unresolved",K48&lt;&gt;"Reviewed"),"Review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7" t="str">
        <x:f>IF(A49="","",IF(OR(B49="",C49="",D49="",E49="",F49="",G49="",H49="",I49="",J49="",K49=""),"Incomplete",IF(I49="Evidence required","Evidence required",IF(OR(G49="Hypothesis",G49="Observed association",G49="Contradictory or unresolved",K49&lt;&gt;"Reviewed"),"Review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7" t="str">
        <x:f>IF(A50="","",IF(OR(B50="",C50="",D50="",E50="",F50="",G50="",H50="",I50="",J50="",K50=""),"Incomplete",IF(I50="Evidence required","Evidence required",IF(OR(G50="Hypothesis",G50="Observed association",G50="Contradictory or unresolved",K50&lt;&gt;"Reviewed"),"Review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7" t="str">
        <x:f>IF(A51="","",IF(OR(B51="",C51="",D51="",E51="",F51="",G51="",H51="",I51="",J51="",K51=""),"Incomplete",IF(I51="Evidence required","Evidence required",IF(OR(G51="Hypothesis",G51="Observed association",G51="Contradictory or unresolved",K51&lt;&gt;"Reviewed"),"Review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7" t="str">
        <x:f>IF(A52="","",IF(OR(B52="",C52="",D52="",E52="",F52="",G52="",H52="",I52="",J52="",K52=""),"Incomplete",IF(I52="Evidence required","Evidence required",IF(OR(G52="Hypothesis",G52="Observed association",G52="Contradictory or unresolved",K52&lt;&gt;"Reviewed"),"Review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7" t="str">
        <x:f>IF(A53="","",IF(OR(B53="",C53="",D53="",E53="",F53="",G53="",H53="",I53="",J53="",K53=""),"Incomplete",IF(I53="Evidence required","Evidence required",IF(OR(G53="Hypothesis",G53="Observed association",G53="Contradictory or unresolved",K53&lt;&gt;"Reviewed"),"Review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7" t="str">
        <x:f>IF(A54="","",IF(OR(B54="",C54="",D54="",E54="",F54="",G54="",H54="",I54="",J54="",K54=""),"Incomplete",IF(I54="Evidence required","Evidence required",IF(OR(G54="Hypothesis",G54="Observed association",G54="Contradictory or unresolved",K54&lt;&gt;"Reviewed"),"Review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7" t="str">
        <x:f>IF(A55="","",IF(OR(B55="",C55="",D55="",E55="",F55="",G55="",H55="",I55="",J55="",K55=""),"Incomplete",IF(I55="Evidence required","Evidence required",IF(OR(G55="Hypothesis",G55="Observed association",G55="Contradictory or unresolved",K55&lt;&gt;"Reviewed"),"Review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7" t="str">
        <x:f>IF(A56="","",IF(OR(B56="",C56="",D56="",E56="",F56="",G56="",H56="",I56="",J56="",K56=""),"Incomplete",IF(I56="Evidence required","Evidence required",IF(OR(G56="Hypothesis",G56="Observed association",G56="Contradictory or unresolved",K56&lt;&gt;"Reviewed"),"Review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7" t="str">
        <x:f>IF(A57="","",IF(OR(B57="",C57="",D57="",E57="",F57="",G57="",H57="",I57="",J57="",K57=""),"Incomplete",IF(I57="Evidence required","Evidence required",IF(OR(G57="Hypothesis",G57="Observed association",G57="Contradictory or unresolved",K57&lt;&gt;"Reviewed"),"Review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7" t="str">
        <x:f>IF(A58="","",IF(OR(B58="",C58="",D58="",E58="",F58="",G58="",H58="",I58="",J58="",K58=""),"Incomplete",IF(I58="Evidence required","Evidence required",IF(OR(G58="Hypothesis",G58="Observed association",G58="Contradictory or unresolved",K58&lt;&gt;"Reviewed"),"Review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7" t="str">
        <x:f>IF(A59="","",IF(OR(B59="",C59="",D59="",E59="",F59="",G59="",H59="",I59="",J59="",K59=""),"Incomplete",IF(I59="Evidence required","Evidence required",IF(OR(G59="Hypothesis",G59="Observed association",G59="Contradictory or unresolved",K59&lt;&gt;"Reviewed"),"Review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7" t="str">
        <x:f>IF(A60="","",IF(OR(B60="",C60="",D60="",E60="",F60="",G60="",H60="",I60="",J60="",K60=""),"Incomplete",IF(I60="Evidence required","Evidence required",IF(OR(G60="Hypothesis",G60="Observed association",G60="Contradictory or unresolved",K60&lt;&gt;"Reviewed"),"Review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7" t="str">
        <x:f>IF(A61="","",IF(OR(B61="",C61="",D61="",E61="",F61="",G61="",H61="",I61="",J61="",K61=""),"Incomplete",IF(I61="Evidence required","Evidence required",IF(OR(G61="Hypothesis",G61="Observed association",G61="Contradictory or unresolved",K61&lt;&gt;"Reviewed"),"Review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7" t="str">
        <x:f>IF(A62="","",IF(OR(B62="",C62="",D62="",E62="",F62="",G62="",H62="",I62="",J62="",K62=""),"Incomplete",IF(I62="Evidence required","Evidence required",IF(OR(G62="Hypothesis",G62="Observed association",G62="Contradictory or unresolved",K62&lt;&gt;"Reviewed"),"Review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7" t="str">
        <x:f>IF(A63="","",IF(OR(B63="",C63="",D63="",E63="",F63="",G63="",H63="",I63="",J63="",K63=""),"Incomplete",IF(I63="Evidence required","Evidence required",IF(OR(G63="Hypothesis",G63="Observed association",G63="Contradictory or unresolved",K63&lt;&gt;"Reviewed"),"Review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7" t="str">
        <x:f>IF(A64="","",IF(OR(B64="",C64="",D64="",E64="",F64="",G64="",H64="",I64="",J64="",K64=""),"Incomplete",IF(I64="Evidence required","Evidence required",IF(OR(G64="Hypothesis",G64="Observed association",G64="Contradictory or unresolved",K64&lt;&gt;"Reviewed"),"Review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7" t="str">
        <x:f>IF(A65="","",IF(OR(B65="",C65="",D65="",E65="",F65="",G65="",H65="",I65="",J65="",K65=""),"Incomplete",IF(I65="Evidence required","Evidence required",IF(OR(G65="Hypothesis",G65="Observed association",G65="Contradictory or unresolved",K65&lt;&gt;"Reviewed"),"Review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7" t="str">
        <x:f>IF(A66="","",IF(OR(B66="",C66="",D66="",E66="",F66="",G66="",H66="",I66="",J66="",K66=""),"Incomplete",IF(I66="Evidence required","Evidence required",IF(OR(G66="Hypothesis",G66="Observed association",G66="Contradictory or unresolved",K66&lt;&gt;"Reviewed"),"Review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7" t="str">
        <x:f>IF(A67="","",IF(OR(B67="",C67="",D67="",E67="",F67="",G67="",H67="",I67="",J67="",K67=""),"Incomplete",IF(I67="Evidence required","Evidence required",IF(OR(G67="Hypothesis",G67="Observed association",G67="Contradictory or unresolved",K67&lt;&gt;"Reviewed"),"Review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7" t="str">
        <x:f>IF(A68="","",IF(OR(B68="",C68="",D68="",E68="",F68="",G68="",H68="",I68="",J68="",K68=""),"Incomplete",IF(I68="Evidence required","Evidence required",IF(OR(G68="Hypothesis",G68="Observed association",G68="Contradictory or unresolved",K68&lt;&gt;"Reviewed"),"Review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7" t="str">
        <x:f>IF(A69="","",IF(OR(B69="",C69="",D69="",E69="",F69="",G69="",H69="",I69="",J69="",K69=""),"Incomplete",IF(I69="Evidence required","Evidence required",IF(OR(G69="Hypothesis",G69="Observed association",G69="Contradictory or unresolved",K69&lt;&gt;"Reviewed"),"Review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7" t="str">
        <x:f>IF(A70="","",IF(OR(B70="",C70="",D70="",E70="",F70="",G70="",H70="",I70="",J70="",K70=""),"Incomplete",IF(I70="Evidence required","Evidence required",IF(OR(G70="Hypothesis",G70="Observed association",G70="Contradictory or unresolved",K70&lt;&gt;"Reviewed"),"Review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7" t="str">
        <x:f>IF(A71="","",IF(OR(B71="",C71="",D71="",E71="",F71="",G71="",H71="",I71="",J71="",K71=""),"Incomplete",IF(I71="Evidence required","Evidence required",IF(OR(G71="Hypothesis",G71="Observed association",G71="Contradictory or unresolved",K71&lt;&gt;"Reviewed"),"Review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7" t="str">
        <x:f>IF(A72="","",IF(OR(B72="",C72="",D72="",E72="",F72="",G72="",H72="",I72="",J72="",K72=""),"Incomplete",IF(I72="Evidence required","Evidence required",IF(OR(G72="Hypothesis",G72="Observed association",G72="Contradictory or unresolved",K72&lt;&gt;"Reviewed"),"Review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7" t="str">
        <x:f>IF(A73="","",IF(OR(B73="",C73="",D73="",E73="",F73="",G73="",H73="",I73="",J73="",K73=""),"Incomplete",IF(I73="Evidence required","Evidence required",IF(OR(G73="Hypothesis",G73="Observed association",G73="Contradictory or unresolved",K73&lt;&gt;"Reviewed"),"Review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7" t="str">
        <x:f>IF(A74="","",IF(OR(B74="",C74="",D74="",E74="",F74="",G74="",H74="",I74="",J74="",K74=""),"Incomplete",IF(I74="Evidence required","Evidence required",IF(OR(G74="Hypothesis",G74="Observed association",G74="Contradictory or unresolved",K74&lt;&gt;"Reviewed"),"Review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7" t="str">
        <x:f>IF(A75="","",IF(OR(B75="",C75="",D75="",E75="",F75="",G75="",H75="",I75="",J75="",K75=""),"Incomplete",IF(I75="Evidence required","Evidence required",IF(OR(G75="Hypothesis",G75="Observed association",G75="Contradictory or unresolved",K75&lt;&gt;"Reviewed"),"Review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7" t="str">
        <x:f>IF(A76="","",IF(OR(B76="",C76="",D76="",E76="",F76="",G76="",H76="",I76="",J76="",K76=""),"Incomplete",IF(I76="Evidence required","Evidence required",IF(OR(G76="Hypothesis",G76="Observed association",G76="Contradictory or unresolved",K76&lt;&gt;"Reviewed"),"Review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7" t="str">
        <x:f>IF(A77="","",IF(OR(B77="",C77="",D77="",E77="",F77="",G77="",H77="",I77="",J77="",K77=""),"Incomplete",IF(I77="Evidence required","Evidence required",IF(OR(G77="Hypothesis",G77="Observed association",G77="Contradictory or unresolved",K77&lt;&gt;"Reviewed"),"Review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7" t="str">
        <x:f>IF(A78="","",IF(OR(B78="",C78="",D78="",E78="",F78="",G78="",H78="",I78="",J78="",K78=""),"Incomplete",IF(I78="Evidence required","Evidence required",IF(OR(G78="Hypothesis",G78="Observed association",G78="Contradictory or unresolved",K78&lt;&gt;"Reviewed"),"Review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7" t="str">
        <x:f>IF(A79="","",IF(OR(B79="",C79="",D79="",E79="",F79="",G79="",H79="",I79="",J79="",K79=""),"Incomplete",IF(I79="Evidence required","Evidence required",IF(OR(G79="Hypothesis",G79="Observed association",G79="Contradictory or unresolved",K79&lt;&gt;"Reviewed"),"Review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7" t="str">
        <x:f>IF(A80="","",IF(OR(B80="",C80="",D80="",E80="",F80="",G80="",H80="",I80="",J80="",K80=""),"Incomplete",IF(I80="Evidence required","Evidence required",IF(OR(G80="Hypothesis",G80="Observed association",G80="Contradictory or unresolved",K80&lt;&gt;"Reviewed"),"Review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7" t="str">
        <x:f>IF(A81="","",IF(OR(B81="",C81="",D81="",E81="",F81="",G81="",H81="",I81="",J81="",K81=""),"Incomplete",IF(I81="Evidence required","Evidence required",IF(OR(G81="Hypothesis",G81="Observed association",G81="Contradictory or unresolved",K81&lt;&gt;"Reviewed"),"Review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7" t="str">
        <x:f>IF(A82="","",IF(OR(B82="",C82="",D82="",E82="",F82="",G82="",H82="",I82="",J82="",K82=""),"Incomplete",IF(I82="Evidence required","Evidence required",IF(OR(G82="Hypothesis",G82="Observed association",G82="Contradictory or unresolved",K82&lt;&gt;"Reviewed"),"Review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7" t="str">
        <x:f>IF(A83="","",IF(OR(B83="",C83="",D83="",E83="",F83="",G83="",H83="",I83="",J83="",K83=""),"Incomplete",IF(I83="Evidence required","Evidence required",IF(OR(G83="Hypothesis",G83="Observed association",G83="Contradictory or unresolved",K83&lt;&gt;"Reviewed"),"Review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7" t="str">
        <x:f>IF(A84="","",IF(OR(B84="",C84="",D84="",E84="",F84="",G84="",H84="",I84="",J84="",K84=""),"Incomplete",IF(I84="Evidence required","Evidence required",IF(OR(G84="Hypothesis",G84="Observed association",G84="Contradictory or unresolved",K84&lt;&gt;"Reviewed"),"Review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7" t="str">
        <x:f>IF(A85="","",IF(OR(B85="",C85="",D85="",E85="",F85="",G85="",H85="",I85="",J85="",K85=""),"Incomplete",IF(I85="Evidence required","Evidence required",IF(OR(G85="Hypothesis",G85="Observed association",G85="Contradictory or unresolved",K85&lt;&gt;"Reviewed"),"Review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7" t="str">
        <x:f>IF(A86="","",IF(OR(B86="",C86="",D86="",E86="",F86="",G86="",H86="",I86="",J86="",K86=""),"Incomplete",IF(I86="Evidence required","Evidence required",IF(OR(G86="Hypothesis",G86="Observed association",G86="Contradictory or unresolved",K86&lt;&gt;"Reviewed"),"Review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7" t="str">
        <x:f>IF(A87="","",IF(OR(B87="",C87="",D87="",E87="",F87="",G87="",H87="",I87="",J87="",K87=""),"Incomplete",IF(I87="Evidence required","Evidence required",IF(OR(G87="Hypothesis",G87="Observed association",G87="Contradictory or unresolved",K87&lt;&gt;"Reviewed"),"Review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7" t="str">
        <x:f>IF(A88="","",IF(OR(B88="",C88="",D88="",E88="",F88="",G88="",H88="",I88="",J88="",K88=""),"Incomplete",IF(I88="Evidence required","Evidence required",IF(OR(G88="Hypothesis",G88="Observed association",G88="Contradictory or unresolved",K88&lt;&gt;"Reviewed"),"Review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7" t="str">
        <x:f>IF(A89="","",IF(OR(B89="",C89="",D89="",E89="",F89="",G89="",H89="",I89="",J89="",K89=""),"Incomplete",IF(I89="Evidence required","Evidence required",IF(OR(G89="Hypothesis",G89="Observed association",G89="Contradictory or unresolved",K89&lt;&gt;"Reviewed"),"Review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7" t="str">
        <x:f>IF(A90="","",IF(OR(B90="",C90="",D90="",E90="",F90="",G90="",H90="",I90="",J90="",K90=""),"Incomplete",IF(I90="Evidence required","Evidence required",IF(OR(G90="Hypothesis",G90="Observed association",G90="Contradictory or unresolved",K90&lt;&gt;"Reviewed"),"Review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7" t="str">
        <x:f>IF(A91="","",IF(OR(B91="",C91="",D91="",E91="",F91="",G91="",H91="",I91="",J91="",K91=""),"Incomplete",IF(I91="Evidence required","Evidence required",IF(OR(G91="Hypothesis",G91="Observed association",G91="Contradictory or unresolved",K91&lt;&gt;"Reviewed"),"Review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7" t="str">
        <x:f>IF(A92="","",IF(OR(B92="",C92="",D92="",E92="",F92="",G92="",H92="",I92="",J92="",K92=""),"Incomplete",IF(I92="Evidence required","Evidence required",IF(OR(G92="Hypothesis",G92="Observed association",G92="Contradictory or unresolved",K92&lt;&gt;"Reviewed"),"Review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7" t="str">
        <x:f>IF(A93="","",IF(OR(B93="",C93="",D93="",E93="",F93="",G93="",H93="",I93="",J93="",K93=""),"Incomplete",IF(I93="Evidence required","Evidence required",IF(OR(G93="Hypothesis",G93="Observed association",G93="Contradictory or unresolved",K93&lt;&gt;"Reviewed"),"Review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7" t="str">
        <x:f>IF(A94="","",IF(OR(B94="",C94="",D94="",E94="",F94="",G94="",H94="",I94="",J94="",K94=""),"Incomplete",IF(I94="Evidence required","Evidence required",IF(OR(G94="Hypothesis",G94="Observed association",G94="Contradictory or unresolved",K94&lt;&gt;"Reviewed"),"Review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7" t="str">
        <x:f>IF(A95="","",IF(OR(B95="",C95="",D95="",E95="",F95="",G95="",H95="",I95="",J95="",K95=""),"Incomplete",IF(I95="Evidence required","Evidence required",IF(OR(G95="Hypothesis",G95="Observed association",G95="Contradictory or unresolved",K95&lt;&gt;"Reviewed"),"Review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7" t="str">
        <x:f>IF(A96="","",IF(OR(B96="",C96="",D96="",E96="",F96="",G96="",H96="",I96="",J96="",K96=""),"Incomplete",IF(I96="Evidence required","Evidence required",IF(OR(G96="Hypothesis",G96="Observed association",G96="Contradictory or unresolved",K96&lt;&gt;"Reviewed"),"Review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7" t="str">
        <x:f>IF(A97="","",IF(OR(B97="",C97="",D97="",E97="",F97="",G97="",H97="",I97="",J97="",K97=""),"Incomplete",IF(I97="Evidence required","Evidence required",IF(OR(G97="Hypothesis",G97="Observed association",G97="Contradictory or unresolved",K97&lt;&gt;"Reviewed"),"Review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7" t="str">
        <x:f>IF(A98="","",IF(OR(B98="",C98="",D98="",E98="",F98="",G98="",H98="",I98="",J98="",K98=""),"Incomplete",IF(I98="Evidence required","Evidence required",IF(OR(G98="Hypothesis",G98="Observed association",G98="Contradictory or unresolved",K98&lt;&gt;"Reviewed"),"Review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7" t="str">
        <x:f>IF(A99="","",IF(OR(B99="",C99="",D99="",E99="",F99="",G99="",H99="",I99="",J99="",K99=""),"Incomplete",IF(I99="Evidence required","Evidence required",IF(OR(G99="Hypothesis",G99="Observed association",G99="Contradictory or unresolved",K99&lt;&gt;"Reviewed"),"Review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7" t="str">
        <x:f>IF(A100="","",IF(OR(B100="",C100="",D100="",E100="",F100="",G100="",H100="",I100="",J100="",K100=""),"Incomplete",IF(I100="Evidence required","Evidence required",IF(OR(G100="Hypothesis",G100="Observed association",G100="Contradictory or unresolved",K100&lt;&gt;"Reviewed"),"Review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7" t="str">
        <x:f>IF(A101="","",IF(OR(B101="",C101="",D101="",E101="",F101="",G101="",H101="",I101="",J101="",K101=""),"Incomplete",IF(I101="Evidence required","Evidence required",IF(OR(G101="Hypothesis",G101="Observed association",G101="Contradictory or unresolved",K101&lt;&gt;"Reviewed"),"Review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7" t="str">
        <x:f>IF(A102="","",IF(OR(B102="",C102="",D102="",E102="",F102="",G102="",H102="",I102="",J102="",K102=""),"Incomplete",IF(I102="Evidence required","Evidence required",IF(OR(G102="Hypothesis",G102="Observed association",G102="Contradictory or unresolved",K102&lt;&gt;"Reviewed"),"Review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7" t="str">
        <x:f>IF(A103="","",IF(OR(B103="",C103="",D103="",E103="",F103="",G103="",H103="",I103="",J103="",K103=""),"Incomplete",IF(I103="Evidence required","Evidence required",IF(OR(G103="Hypothesis",G103="Observed association",G103="Contradictory or unresolved",K103&lt;&gt;"Reviewed"),"Review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7" t="str">
        <x:f>IF(A104="","",IF(OR(B104="",C104="",D104="",E104="",F104="",G104="",H104="",I104="",J104="",K104=""),"Incomplete",IF(I104="Evidence required","Evidence required",IF(OR(G104="Hypothesis",G104="Observed association",G104="Contradictory or unresolved",K104&lt;&gt;"Reviewed"),"Review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8" t="str">
        <x:f>IF(A105="","",IF(OR(B105="",C105="",D105="",E105="",F105="",G105="",H105="",I105="",J105="",K105=""),"Incomplete",IF(I105="Evidence required","Evidence required",IF(OR(G105="Hypothesis",G105="Observed association",G105="Contradictory or unresolved",K105&lt;&gt;"Reviewed"),"Review required","Ready for qualified review"))))</x:f>
      </x:c>
    </x:row>
  </x:sheetData>
  <x:mergeCells>
    <x:mergeCell ref="A1:L1"/>
    <x:mergeCell ref="A2:L2"/>
  </x:mergeCells>
  <x:conditionalFormatting sqref="L6:L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3">
    <x:dataValidation type="list" sqref="C6:C105">
      <x:formula1>"Intended product / activity,Physical degradation,Chemical degradation,Product-related variant,Container / material interaction,Sterility / integrity interface,Delivery / performance,Other"</x:formula1>
    </x:dataValidation>
    <x:dataValidation type="list" sqref="G6:G105">
      <x:formula1>"Hypothesis,Observed association,Designed-study support,Multi-source support,Contradictory or unresolved"</x:formula1>
    </x:dataValidation>
    <x:dataValidation type="list" sqref="K6:K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7" hidden="0" customWidth="1"/>
    <x:col min="4" max="4" width="38" hidden="0" customWidth="1"/>
    <x:col min="5" max="5" width="32" hidden="0" customWidth="1"/>
    <x:col min="6" max="6" width="36" hidden="0" customWidth="1"/>
    <x:col min="7" max="7" width="34" hidden="0" customWidth="1"/>
    <x:col min="8" max="8" width="18" hidden="0" customWidth="1"/>
    <x:col min="9" max="9" width="18" hidden="0" customWidth="1"/>
    <x:col min="10" max="10" width="23" hidden="0" customWidth="1"/>
    <x:col min="11" max="11" width="38" hidden="0" customWidth="1"/>
    <x:col min="12" max="12" width="32" hidden="0" customWidth="1"/>
    <x:col min="13" max="13" width="17" hidden="0" customWidth="1"/>
    <x:col min="14" max="14" width="22" hidden="0" customWidth="1"/>
  </x:cols>
  <x:sheetData>
    <x:row r="1" ht="28" customHeight="1">
      <x:c r="A1" s="3" t="str">
        <x:v>Formulation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Treat components and product properties as bounded hypotheses supported by material, interaction, and product evidence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4" customHeight="1">
      <x:c r="A5" s="47" t="str">
        <x:v>Formulation ID</x:v>
      </x:c>
      <x:c r="B5" s="48" t="str">
        <x:v>Component / system / property</x:v>
      </x:c>
      <x:c r="C5" s="48" t="str">
        <x:v>Record type</x:v>
      </x:c>
      <x:c r="D5" s="48" t="str">
        <x:v>Intended role / hypothesis</x:v>
      </x:c>
      <x:c r="E5" s="48" t="str">
        <x:v>Material / source / grade</x:v>
      </x:c>
      <x:c r="F5" s="48" t="str">
        <x:v>Product-risk mechanism</x:v>
      </x:c>
      <x:c r="G5" s="48" t="str">
        <x:v>Studied scope / reference</x:v>
      </x:c>
      <x:c r="H5" s="48" t="str">
        <x:v>Attribute IDs</x:v>
      </x:c>
      <x:c r="I5" s="48" t="str">
        <x:v>Evidence IDs</x:v>
      </x:c>
      <x:c r="J5" s="48" t="str">
        <x:v>Evidence strength</x:v>
      </x:c>
      <x:c r="K5" s="48" t="str">
        <x:v>Manufacturing / container compatibility</x:v>
      </x:c>
      <x:c r="L5" s="48" t="str">
        <x:v>Lifecycle trigger</x:v>
      </x:c>
      <x:c r="M5" s="48" t="str">
        <x:v>Review status</x:v>
      </x:c>
      <x:c r="N5" s="49" t="str">
        <x:v>Attention</x:v>
      </x:c>
    </x:row>
    <x:row r="6">
      <x:c r="A6" s="60" t="str">
        <x:v>FORM-001</x:v>
      </x:c>
      <x:c r="B6" s="60" t="str">
        <x:v>F-09 product concentration and solution state</x:v>
      </x:c>
      <x:c r="C6" s="60" t="str">
        <x:v>Active product property</x:v>
      </x:c>
      <x:c r="D6" s="60" t="str">
        <x:v>Maintain defined product state and activity within the controlled formulation and process scope.</x:v>
      </x:c>
      <x:c r="E6" s="60" t="str">
        <x:v>Controlled formulation and drug-substance reference</x:v>
      </x:c>
      <x:c r="F6" s="60" t="str">
        <x:v>Concentration, interfaces, and handling may shift physical or chemical behavior.</x:v>
      </x:c>
      <x:c r="G6" s="60" t="str">
        <x:v>Current development and manufacturing scope; proposed process change under review</x:v>
      </x:c>
      <x:c r="H6" s="60" t="str">
        <x:v>QPA-001; QPA-002; QPA-004</x:v>
      </x:c>
      <x:c r="I6" s="60" t="str">
        <x:v>EVD-004; EVD-005</x:v>
      </x:c>
      <x:c r="J6" s="60" t="str">
        <x:v>Designed-study support</x:v>
      </x:c>
      <x:c r="K6" s="60" t="str">
        <x:v>Current manufacturing and presentation compatibility references</x:v>
      </x:c>
      <x:c r="L6" s="60" t="str">
        <x:v>Concentration, process, presentation, site, or route change</x:v>
      </x:c>
      <x:c r="M6" s="60" t="str">
        <x:v>Reviewed</x:v>
      </x:c>
      <x:c r="N6" s="66" t="str">
        <x:f>IF(A6="","",IF(OR(B6="",C6="",D6="",E6="",F6="",G6="",H6="",I6="",J6="",K6="",L6="",M6=""),"Incomplete",IF(OR(G6="Evidence required",K6="Evidence required"),"Evidence required",IF(OR(J6="Hypothesis",J6="Observed association",J6="Contradictory or unresolved",M6&lt;&gt;"Reviewed"),"Review required","Ready for qualified review"))))</x:f>
        <x:v>Ready for qualified review</x:v>
      </x:c>
    </x:row>
    <x:row r="7">
      <x:c r="A7" s="61" t="str">
        <x:v>FORM-002</x:v>
      </x:c>
      <x:c r="B7" s="61" t="str">
        <x:v>F-09 buffer system</x:v>
      </x:c>
      <x:c r="C7" s="61" t="str">
        <x:v>Buffer system</x:v>
      </x:c>
      <x:c r="D7" s="61" t="str">
        <x:v>Support the product environment through manufacture and storage.</x:v>
      </x:c>
      <x:c r="E7" s="61" t="str">
        <x:v>Controlled material and formulation reference</x:v>
      </x:c>
      <x:c r="F7" s="61" t="str">
        <x:v>Buffer composition and material variability may affect product and method behavior.</x:v>
      </x:c>
      <x:c r="G7" s="61" t="str">
        <x:v>Product-specific development and current process scope</x:v>
      </x:c>
      <x:c r="H7" s="61" t="str">
        <x:v>QPA-001; QPA-003; QPA-004</x:v>
      </x:c>
      <x:c r="I7" s="61" t="str">
        <x:v>EVD-004; EVD-005</x:v>
      </x:c>
      <x:c r="J7" s="61" t="str">
        <x:v>Designed-study support</x:v>
      </x:c>
      <x:c r="K7" s="61" t="str">
        <x:v>Current process and presentation compatibility references</x:v>
      </x:c>
      <x:c r="L7" s="61" t="str">
        <x:v>Composition, source, grade, process, method, or presentation change</x:v>
      </x:c>
      <x:c r="M7" s="61" t="str">
        <x:v>Reviewed</x:v>
      </x:c>
      <x:c r="N7" s="67" t="str">
        <x:f>IF(A7="","",IF(OR(B7="",C7="",D7="",E7="",F7="",G7="",H7="",I7="",J7="",K7="",L7="",M7=""),"Incomplete",IF(OR(G7="Evidence required",K7="Evidence required"),"Evidence required",IF(OR(J7="Hypothesis",J7="Observed association",J7="Contradictory or unresolved",M7&lt;&gt;"Reviewed"),"Review required","Ready for qualified review"))))</x:f>
        <x:v>Ready for qualified review</x:v>
      </x:c>
    </x:row>
    <x:row r="8">
      <x:c r="A8" s="61" t="str">
        <x:v>FORM-003</x:v>
      </x:c>
      <x:c r="B8" s="61" t="str">
        <x:v>F-09 interface-control component</x:v>
      </x:c>
      <x:c r="C8" s="61" t="str">
        <x:v>Surfactant / interface control</x:v>
      </x:c>
      <x:c r="D8" s="61" t="str">
        <x:v>Mitigate product loss or physical change at selected interfaces within studied scope.</x:v>
      </x:c>
      <x:c r="E8" s="61" t="str">
        <x:v>Controlled material/source reference; proposed exposure coverage open</x:v>
      </x:c>
      <x:c r="F8" s="61" t="str">
        <x:v>Material variability, degradation, interface, filter, container, and agitation relationships may matter.</x:v>
      </x:c>
      <x:c r="G8" s="61" t="str">
        <x:v>Current formulation evidence plus incomplete revised-hold/transport bridge</x:v>
      </x:c>
      <x:c r="H8" s="61" t="str">
        <x:v>QPA-001; QPA-002</x:v>
      </x:c>
      <x:c r="I8" s="61" t="str">
        <x:v>EVD-005; EVD-006; EVD-009</x:v>
      </x:c>
      <x:c r="J8" s="61" t="str">
        <x:v>Contradictory or unresolved</x:v>
      </x:c>
      <x:c r="K8" s="61" t="str">
        <x:v>Current compatibility reference; proposed process/presentation impact open</x:v>
      </x:c>
      <x:c r="L8" s="61" t="str">
        <x:v>Source, grade, composition, process, filter, container, shipping, or trend change</x:v>
      </x:c>
      <x:c r="M8" s="61" t="str">
        <x:v>In review</x:v>
      </x:c>
      <x:c r="N8" s="67" t="str">
        <x:f>IF(A8="","",IF(OR(B8="",C8="",D8="",E8="",F8="",G8="",H8="",I8="",J8="",K8="",L8="",M8=""),"Incomplete",IF(OR(G8="Evidence required",K8="Evidence required"),"Evidence required",IF(OR(J8="Hypothesis",J8="Observed association",J8="Contradictory or unresolved",M8&lt;&gt;"Reviewed"),"Review required","Ready for qualified review"))))</x:f>
        <x:v>Review required</x:v>
      </x:c>
    </x:row>
    <x:row r="9">
      <x:c r="A9" s="61" t="str">
        <x:v>FORM-004</x:v>
      </x:c>
      <x:c r="B9" s="61" t="str">
        <x:v>F-09 stabilizing component</x:v>
      </x:c>
      <x:c r="C9" s="61" t="str">
        <x:v>Stabilizer / protectant</x:v>
      </x:c>
      <x:c r="D9" s="61" t="str">
        <x:v>Support product-specific physical and chemical stability within the controlled formulation scope.</x:v>
      </x:c>
      <x:c r="E9" s="61" t="str">
        <x:v>Controlled material/source reference</x:v>
      </x:c>
      <x:c r="F9" s="61" t="str">
        <x:v>Interaction with product, other components, process exposure, and methods requires product evidence.</x:v>
      </x:c>
      <x:c r="G9" s="61" t="str">
        <x:v>Controlled formulation-development scope</x:v>
      </x:c>
      <x:c r="H9" s="61" t="str">
        <x:v>QPA-001; QPA-002; QPA-003</x:v>
      </x:c>
      <x:c r="I9" s="61" t="str">
        <x:v>EVD-004; EVD-005</x:v>
      </x:c>
      <x:c r="J9" s="61" t="str">
        <x:v>Designed-study support</x:v>
      </x:c>
      <x:c r="K9" s="61" t="str">
        <x:v>Current manufacturing and container compatibility references</x:v>
      </x:c>
      <x:c r="L9" s="61" t="str">
        <x:v>Source, grade, composition, process, presentation, or storage change</x:v>
      </x:c>
      <x:c r="M9" s="61" t="str">
        <x:v>Reviewed</x:v>
      </x:c>
      <x:c r="N9" s="67" t="str">
        <x:f>IF(A9="","",IF(OR(B9="",C9="",D9="",E9="",F9="",G9="",H9="",I9="",J9="",K9="",L9="",M9=""),"Incomplete",IF(OR(G9="Evidence required",K9="Evidence required"),"Evidence required",IF(OR(J9="Hypothesis",J9="Observed association",J9="Contradictory or unresolved",M9&lt;&gt;"Reviewed"),"Review required","Ready for qualified review"))))</x:f>
        <x:v>Ready for qualified review</x:v>
      </x:c>
    </x:row>
    <x:row r="10">
      <x:c r="A10" s="61" t="str">
        <x:v>FORM-005</x:v>
      </x:c>
      <x:c r="B10" s="61" t="str">
        <x:v>Headspace and oxygen-control strategy</x:v>
      </x:c>
      <x:c r="C10" s="61" t="str">
        <x:v>Headspace / oxygen control</x:v>
      </x:c>
      <x:c r="D10" s="61" t="str">
        <x:v>Control defined headspace and handling within the product/process strategy.</x:v>
      </x:c>
      <x:c r="E10" s="61" t="str">
        <x:v>Controlled process and presentation reference</x:v>
      </x:c>
      <x:c r="F10" s="61" t="str">
        <x:v>Oxygen, light, mixing, filling, closure, and storage can interact with oxidation pathways.</x:v>
      </x:c>
      <x:c r="G10" s="61" t="str">
        <x:v>Current process scope; proposed fill sequence impact under review</x:v>
      </x:c>
      <x:c r="H10" s="61" t="str">
        <x:v>QPA-003</x:v>
      </x:c>
      <x:c r="I10" s="61" t="str">
        <x:v>EVD-004; EVD-006; EVD-008</x:v>
      </x:c>
      <x:c r="J10" s="61" t="str">
        <x:v>Observed association</x:v>
      </x:c>
      <x:c r="K10" s="61" t="str">
        <x:v>Proposed process and presentation compatibility conclusion pending</x:v>
      </x:c>
      <x:c r="L10" s="61" t="str">
        <x:v>Fill, gas, equipment, closure, process, storage, or trend change</x:v>
      </x:c>
      <x:c r="M10" s="61" t="str">
        <x:v>In review</x:v>
      </x:c>
      <x:c r="N10" s="67" t="str">
        <x:f>IF(A10="","",IF(OR(B10="",C10="",D10="",E10="",F10="",G10="",H10="",I10="",J10="",K10="",L10="",M10=""),"Incomplete",IF(OR(G10="Evidence required",K10="Evidence required"),"Evidence required",IF(OR(J10="Hypothesis",J10="Observed association",J10="Contradictory or unresolved",M10&lt;&gt;"Reviewed"),"Review required","Ready for qualified review"))))</x:f>
        <x:v>Review required</x:v>
      </x:c>
    </x:row>
    <x:row r="11">
      <x:c r="A11" s="61" t="str">
        <x:v>FORM-006</x:v>
      </x:c>
      <x:c r="B11" s="61" t="str">
        <x:v>Glass-vial / stopper presentation P-03</x:v>
      </x:c>
      <x:c r="C11" s="61" t="str">
        <x:v>Container / presentation</x:v>
      </x:c>
      <x:c r="D11" s="61" t="str">
        <x:v>Protect and deliver the product through the intended lifecycle.</x:v>
      </x:c>
      <x:c r="E11" s="61" t="str">
        <x:v>Current vial plus proposed fictional stopper S-02</x:v>
      </x:c>
      <x:c r="F11" s="61" t="str">
        <x:v>Material interaction, integrity, function, handling, shipping, and aging require system evidence.</x:v>
      </x:c>
      <x:c r="G11" s="61" t="str">
        <x:v>Current system evidence; proposed stopper and changed process scope incomplete</x:v>
      </x:c>
      <x:c r="H11" s="61" t="str">
        <x:v>QPA-002; QPA-005; QPA-006; QPA-007</x:v>
      </x:c>
      <x:c r="I11" s="61" t="str">
        <x:v>EVD-003; EVD-007; EVD-008; EVD-009</x:v>
      </x:c>
      <x:c r="J11" s="61" t="str">
        <x:v>Contradictory or unresolved</x:v>
      </x:c>
      <x:c r="K11" s="61" t="str">
        <x:v>Controlled proposed-system assessment pending</x:v>
      </x:c>
      <x:c r="L11" s="61" t="str">
        <x:v>Component, supplier, coating, assembly, fill, closing, aging, shipping, or use change</x:v>
      </x:c>
      <x:c r="M11" s="61" t="str">
        <x:v>In review</x:v>
      </x:c>
      <x:c r="N11" s="67" t="str">
        <x:f>IF(A11="","",IF(OR(B11="",C11="",D11="",E11="",F11="",G11="",H11="",I11="",J11="",K11="",L11="",M11=""),"Incomplete",IF(OR(G11="Evidence required",K11="Evidence required"),"Evidence required",IF(OR(J11="Hypothesis",J11="Observed association",J11="Contradictory or unresolved",M11&lt;&gt;"Reviewed"),"Review required","Ready for qualified review"))))</x:f>
        <x:v>Review required</x:v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7" t="str">
        <x:f>IF(A12="","",IF(OR(B12="",C12="",D12="",E12="",F12="",G12="",H12="",I12="",J12="",K12="",L12="",M12=""),"Incomplete",IF(OR(G12="Evidence required",K12="Evidence required"),"Evidence required",IF(OR(J12="Hypothesis",J12="Observed association",J12="Contradictory or unresolved",M12&lt;&gt;"Reviewed"),"Review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7" t="str">
        <x:f>IF(A13="","",IF(OR(B13="",C13="",D13="",E13="",F13="",G13="",H13="",I13="",J13="",K13="",L13="",M13=""),"Incomplete",IF(OR(G13="Evidence required",K13="Evidence required"),"Evidence required",IF(OR(J13="Hypothesis",J13="Observed association",J13="Contradictory or unresolved",M13&lt;&gt;"Reviewed"),"Review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7" t="str">
        <x:f>IF(A14="","",IF(OR(B14="",C14="",D14="",E14="",F14="",G14="",H14="",I14="",J14="",K14="",L14="",M14=""),"Incomplete",IF(OR(G14="Evidence required",K14="Evidence required"),"Evidence required",IF(OR(J14="Hypothesis",J14="Observed association",J14="Contradictory or unresolved",M14&lt;&gt;"Reviewed"),"Review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7" t="str">
        <x:f>IF(A15="","",IF(OR(B15="",C15="",D15="",E15="",F15="",G15="",H15="",I15="",J15="",K15="",L15="",M15=""),"Incomplete",IF(OR(G15="Evidence required",K15="Evidence required"),"Evidence required",IF(OR(J15="Hypothesis",J15="Observed association",J15="Contradictory or unresolved",M15&lt;&gt;"Reviewed"),"Review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7" t="str">
        <x:f>IF(A16="","",IF(OR(B16="",C16="",D16="",E16="",F16="",G16="",H16="",I16="",J16="",K16="",L16="",M16=""),"Incomplete",IF(OR(G16="Evidence required",K16="Evidence required"),"Evidence required",IF(OR(J16="Hypothesis",J16="Observed association",J16="Contradictory or unresolved",M16&lt;&gt;"Reviewed"),"Review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7" t="str">
        <x:f>IF(A17="","",IF(OR(B17="",C17="",D17="",E17="",F17="",G17="",H17="",I17="",J17="",K17="",L17="",M17=""),"Incomplete",IF(OR(G17="Evidence required",K17="Evidence required"),"Evidence required",IF(OR(J17="Hypothesis",J17="Observed association",J17="Contradictory or unresolved",M17&lt;&gt;"Reviewed"),"Review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7" t="str">
        <x:f>IF(A18="","",IF(OR(B18="",C18="",D18="",E18="",F18="",G18="",H18="",I18="",J18="",K18="",L18="",M18=""),"Incomplete",IF(OR(G18="Evidence required",K18="Evidence required"),"Evidence required",IF(OR(J18="Hypothesis",J18="Observed association",J18="Contradictory or unresolved",M18&lt;&gt;"Reviewed"),"Review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7" t="str">
        <x:f>IF(A19="","",IF(OR(B19="",C19="",D19="",E19="",F19="",G19="",H19="",I19="",J19="",K19="",L19="",M19=""),"Incomplete",IF(OR(G19="Evidence required",K19="Evidence required"),"Evidence required",IF(OR(J19="Hypothesis",J19="Observed association",J19="Contradictory or unresolved",M19&lt;&gt;"Reviewed"),"Review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7" t="str">
        <x:f>IF(A20="","",IF(OR(B20="",C20="",D20="",E20="",F20="",G20="",H20="",I20="",J20="",K20="",L20="",M20=""),"Incomplete",IF(OR(G20="Evidence required",K20="Evidence required"),"Evidence required",IF(OR(J20="Hypothesis",J20="Observed association",J20="Contradictory or unresolved",M20&lt;&gt;"Reviewed"),"Review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7" t="str">
        <x:f>IF(A21="","",IF(OR(B21="",C21="",D21="",E21="",F21="",G21="",H21="",I21="",J21="",K21="",L21="",M21=""),"Incomplete",IF(OR(G21="Evidence required",K21="Evidence required"),"Evidence required",IF(OR(J21="Hypothesis",J21="Observed association",J21="Contradictory or unresolved",M21&lt;&gt;"Reviewed"),"Review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7" t="str">
        <x:f>IF(A22="","",IF(OR(B22="",C22="",D22="",E22="",F22="",G22="",H22="",I22="",J22="",K22="",L22="",M22=""),"Incomplete",IF(OR(G22="Evidence required",K22="Evidence required"),"Evidence required",IF(OR(J22="Hypothesis",J22="Observed association",J22="Contradictory or unresolved",M22&lt;&gt;"Reviewed"),"Review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7" t="str">
        <x:f>IF(A23="","",IF(OR(B23="",C23="",D23="",E23="",F23="",G23="",H23="",I23="",J23="",K23="",L23="",M23=""),"Incomplete",IF(OR(G23="Evidence required",K23="Evidence required"),"Evidence required",IF(OR(J23="Hypothesis",J23="Observed association",J23="Contradictory or unresolved",M23&lt;&gt;"Reviewed"),"Review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7" t="str">
        <x:f>IF(A24="","",IF(OR(B24="",C24="",D24="",E24="",F24="",G24="",H24="",I24="",J24="",K24="",L24="",M24=""),"Incomplete",IF(OR(G24="Evidence required",K24="Evidence required"),"Evidence required",IF(OR(J24="Hypothesis",J24="Observed association",J24="Contradictory or unresolved",M24&lt;&gt;"Reviewed"),"Review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7" t="str">
        <x:f>IF(A25="","",IF(OR(B25="",C25="",D25="",E25="",F25="",G25="",H25="",I25="",J25="",K25="",L25="",M25=""),"Incomplete",IF(OR(G25="Evidence required",K25="Evidence required"),"Evidence required",IF(OR(J25="Hypothesis",J25="Observed association",J25="Contradictory or unresolved",M25&lt;&gt;"Reviewed"),"Review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7" t="str">
        <x:f>IF(A26="","",IF(OR(B26="",C26="",D26="",E26="",F26="",G26="",H26="",I26="",J26="",K26="",L26="",M26=""),"Incomplete",IF(OR(G26="Evidence required",K26="Evidence required"),"Evidence required",IF(OR(J26="Hypothesis",J26="Observed association",J26="Contradictory or unresolved",M26&lt;&gt;"Reviewed"),"Review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7" t="str">
        <x:f>IF(A27="","",IF(OR(B27="",C27="",D27="",E27="",F27="",G27="",H27="",I27="",J27="",K27="",L27="",M27=""),"Incomplete",IF(OR(G27="Evidence required",K27="Evidence required"),"Evidence required",IF(OR(J27="Hypothesis",J27="Observed association",J27="Contradictory or unresolved",M27&lt;&gt;"Reviewed"),"Review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7" t="str">
        <x:f>IF(A28="","",IF(OR(B28="",C28="",D28="",E28="",F28="",G28="",H28="",I28="",J28="",K28="",L28="",M28=""),"Incomplete",IF(OR(G28="Evidence required",K28="Evidence required"),"Evidence required",IF(OR(J28="Hypothesis",J28="Observed association",J28="Contradictory or unresolved",M28&lt;&gt;"Reviewed"),"Review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7" t="str">
        <x:f>IF(A29="","",IF(OR(B29="",C29="",D29="",E29="",F29="",G29="",H29="",I29="",J29="",K29="",L29="",M29=""),"Incomplete",IF(OR(G29="Evidence required",K29="Evidence required"),"Evidence required",IF(OR(J29="Hypothesis",J29="Observed association",J29="Contradictory or unresolved",M29&lt;&gt;"Reviewed"),"Review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7" t="str">
        <x:f>IF(A30="","",IF(OR(B30="",C30="",D30="",E30="",F30="",G30="",H30="",I30="",J30="",K30="",L30="",M30=""),"Incomplete",IF(OR(G30="Evidence required",K30="Evidence required"),"Evidence required",IF(OR(J30="Hypothesis",J30="Observed association",J30="Contradictory or unresolved",M30&lt;&gt;"Reviewed"),"Review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7" t="str">
        <x:f>IF(A31="","",IF(OR(B31="",C31="",D31="",E31="",F31="",G31="",H31="",I31="",J31="",K31="",L31="",M31=""),"Incomplete",IF(OR(G31="Evidence required",K31="Evidence required"),"Evidence required",IF(OR(J31="Hypothesis",J31="Observed association",J31="Contradictory or unresolved",M31&lt;&gt;"Reviewed"),"Review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7" t="str">
        <x:f>IF(A32="","",IF(OR(B32="",C32="",D32="",E32="",F32="",G32="",H32="",I32="",J32="",K32="",L32="",M32=""),"Incomplete",IF(OR(G32="Evidence required",K32="Evidence required"),"Evidence required",IF(OR(J32="Hypothesis",J32="Observed association",J32="Contradictory or unresolved",M32&lt;&gt;"Reviewed"),"Review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7" t="str">
        <x:f>IF(A33="","",IF(OR(B33="",C33="",D33="",E33="",F33="",G33="",H33="",I33="",J33="",K33="",L33="",M33=""),"Incomplete",IF(OR(G33="Evidence required",K33="Evidence required"),"Evidence required",IF(OR(J33="Hypothesis",J33="Observed association",J33="Contradictory or unresolved",M33&lt;&gt;"Reviewed"),"Review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7" t="str">
        <x:f>IF(A34="","",IF(OR(B34="",C34="",D34="",E34="",F34="",G34="",H34="",I34="",J34="",K34="",L34="",M34=""),"Incomplete",IF(OR(G34="Evidence required",K34="Evidence required"),"Evidence required",IF(OR(J34="Hypothesis",J34="Observed association",J34="Contradictory or unresolved",M34&lt;&gt;"Reviewed"),"Review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7" t="str">
        <x:f>IF(A35="","",IF(OR(B35="",C35="",D35="",E35="",F35="",G35="",H35="",I35="",J35="",K35="",L35="",M35=""),"Incomplete",IF(OR(G35="Evidence required",K35="Evidence required"),"Evidence required",IF(OR(J35="Hypothesis",J35="Observed association",J35="Contradictory or unresolved",M35&lt;&gt;"Reviewed"),"Review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7" t="str">
        <x:f>IF(A36="","",IF(OR(B36="",C36="",D36="",E36="",F36="",G36="",H36="",I36="",J36="",K36="",L36="",M36=""),"Incomplete",IF(OR(G36="Evidence required",K36="Evidence required"),"Evidence required",IF(OR(J36="Hypothesis",J36="Observed association",J36="Contradictory or unresolved",M36&lt;&gt;"Reviewed"),"Review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7" t="str">
        <x:f>IF(A37="","",IF(OR(B37="",C37="",D37="",E37="",F37="",G37="",H37="",I37="",J37="",K37="",L37="",M37=""),"Incomplete",IF(OR(G37="Evidence required",K37="Evidence required"),"Evidence required",IF(OR(J37="Hypothesis",J37="Observed association",J37="Contradictory or unresolved",M37&lt;&gt;"Reviewed"),"Review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7" t="str">
        <x:f>IF(A38="","",IF(OR(B38="",C38="",D38="",E38="",F38="",G38="",H38="",I38="",J38="",K38="",L38="",M38=""),"Incomplete",IF(OR(G38="Evidence required",K38="Evidence required"),"Evidence required",IF(OR(J38="Hypothesis",J38="Observed association",J38="Contradictory or unresolved",M38&lt;&gt;"Reviewed"),"Review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7" t="str">
        <x:f>IF(A39="","",IF(OR(B39="",C39="",D39="",E39="",F39="",G39="",H39="",I39="",J39="",K39="",L39="",M39=""),"Incomplete",IF(OR(G39="Evidence required",K39="Evidence required"),"Evidence required",IF(OR(J39="Hypothesis",J39="Observed association",J39="Contradictory or unresolved",M39&lt;&gt;"Reviewed"),"Review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7" t="str">
        <x:f>IF(A40="","",IF(OR(B40="",C40="",D40="",E40="",F40="",G40="",H40="",I40="",J40="",K40="",L40="",M40=""),"Incomplete",IF(OR(G40="Evidence required",K40="Evidence required"),"Evidence required",IF(OR(J40="Hypothesis",J40="Observed association",J40="Contradictory or unresolved",M40&lt;&gt;"Reviewed"),"Review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7" t="str">
        <x:f>IF(A41="","",IF(OR(B41="",C41="",D41="",E41="",F41="",G41="",H41="",I41="",J41="",K41="",L41="",M41=""),"Incomplete",IF(OR(G41="Evidence required",K41="Evidence required"),"Evidence required",IF(OR(J41="Hypothesis",J41="Observed association",J41="Contradictory or unresolved",M41&lt;&gt;"Reviewed"),"Review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7" t="str">
        <x:f>IF(A42="","",IF(OR(B42="",C42="",D42="",E42="",F42="",G42="",H42="",I42="",J42="",K42="",L42="",M42=""),"Incomplete",IF(OR(G42="Evidence required",K42="Evidence required"),"Evidence required",IF(OR(J42="Hypothesis",J42="Observed association",J42="Contradictory or unresolved",M42&lt;&gt;"Reviewed"),"Review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7" t="str">
        <x:f>IF(A43="","",IF(OR(B43="",C43="",D43="",E43="",F43="",G43="",H43="",I43="",J43="",K43="",L43="",M43=""),"Incomplete",IF(OR(G43="Evidence required",K43="Evidence required"),"Evidence required",IF(OR(J43="Hypothesis",J43="Observed association",J43="Contradictory or unresolved",M43&lt;&gt;"Reviewed"),"Review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7" t="str">
        <x:f>IF(A44="","",IF(OR(B44="",C44="",D44="",E44="",F44="",G44="",H44="",I44="",J44="",K44="",L44="",M44=""),"Incomplete",IF(OR(G44="Evidence required",K44="Evidence required"),"Evidence required",IF(OR(J44="Hypothesis",J44="Observed association",J44="Contradictory or unresolved",M44&lt;&gt;"Reviewed"),"Review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7" t="str">
        <x:f>IF(A45="","",IF(OR(B45="",C45="",D45="",E45="",F45="",G45="",H45="",I45="",J45="",K45="",L45="",M45=""),"Incomplete",IF(OR(G45="Evidence required",K45="Evidence required"),"Evidence required",IF(OR(J45="Hypothesis",J45="Observed association",J45="Contradictory or unresolved",M45&lt;&gt;"Reviewed"),"Review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7" t="str">
        <x:f>IF(A46="","",IF(OR(B46="",C46="",D46="",E46="",F46="",G46="",H46="",I46="",J46="",K46="",L46="",M46=""),"Incomplete",IF(OR(G46="Evidence required",K46="Evidence required"),"Evidence required",IF(OR(J46="Hypothesis",J46="Observed association",J46="Contradictory or unresolved",M46&lt;&gt;"Reviewed"),"Review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7" t="str">
        <x:f>IF(A47="","",IF(OR(B47="",C47="",D47="",E47="",F47="",G47="",H47="",I47="",J47="",K47="",L47="",M47=""),"Incomplete",IF(OR(G47="Evidence required",K47="Evidence required"),"Evidence required",IF(OR(J47="Hypothesis",J47="Observed association",J47="Contradictory or unresolved",M47&lt;&gt;"Reviewed"),"Review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7" t="str">
        <x:f>IF(A48="","",IF(OR(B48="",C48="",D48="",E48="",F48="",G48="",H48="",I48="",J48="",K48="",L48="",M48=""),"Incomplete",IF(OR(G48="Evidence required",K48="Evidence required"),"Evidence required",IF(OR(J48="Hypothesis",J48="Observed association",J48="Contradictory or unresolved",M48&lt;&gt;"Reviewed"),"Review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7" t="str">
        <x:f>IF(A49="","",IF(OR(B49="",C49="",D49="",E49="",F49="",G49="",H49="",I49="",J49="",K49="",L49="",M49=""),"Incomplete",IF(OR(G49="Evidence required",K49="Evidence required"),"Evidence required",IF(OR(J49="Hypothesis",J49="Observed association",J49="Contradictory or unresolved",M49&lt;&gt;"Reviewed"),"Review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7" t="str">
        <x:f>IF(A50="","",IF(OR(B50="",C50="",D50="",E50="",F50="",G50="",H50="",I50="",J50="",K50="",L50="",M50=""),"Incomplete",IF(OR(G50="Evidence required",K50="Evidence required"),"Evidence required",IF(OR(J50="Hypothesis",J50="Observed association",J50="Contradictory or unresolved",M50&lt;&gt;"Reviewed"),"Review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7" t="str">
        <x:f>IF(A51="","",IF(OR(B51="",C51="",D51="",E51="",F51="",G51="",H51="",I51="",J51="",K51="",L51="",M51=""),"Incomplete",IF(OR(G51="Evidence required",K51="Evidence required"),"Evidence required",IF(OR(J51="Hypothesis",J51="Observed association",J51="Contradictory or unresolved",M51&lt;&gt;"Reviewed"),"Review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7" t="str">
        <x:f>IF(A52="","",IF(OR(B52="",C52="",D52="",E52="",F52="",G52="",H52="",I52="",J52="",K52="",L52="",M52=""),"Incomplete",IF(OR(G52="Evidence required",K52="Evidence required"),"Evidence required",IF(OR(J52="Hypothesis",J52="Observed association",J52="Contradictory or unresolved",M52&lt;&gt;"Reviewed"),"Review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7" t="str">
        <x:f>IF(A53="","",IF(OR(B53="",C53="",D53="",E53="",F53="",G53="",H53="",I53="",J53="",K53="",L53="",M53=""),"Incomplete",IF(OR(G53="Evidence required",K53="Evidence required"),"Evidence required",IF(OR(J53="Hypothesis",J53="Observed association",J53="Contradictory or unresolved",M53&lt;&gt;"Reviewed"),"Review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7" t="str">
        <x:f>IF(A54="","",IF(OR(B54="",C54="",D54="",E54="",F54="",G54="",H54="",I54="",J54="",K54="",L54="",M54=""),"Incomplete",IF(OR(G54="Evidence required",K54="Evidence required"),"Evidence required",IF(OR(J54="Hypothesis",J54="Observed association",J54="Contradictory or unresolved",M54&lt;&gt;"Reviewed"),"Review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7" t="str">
        <x:f>IF(A55="","",IF(OR(B55="",C55="",D55="",E55="",F55="",G55="",H55="",I55="",J55="",K55="",L55="",M55=""),"Incomplete",IF(OR(G55="Evidence required",K55="Evidence required"),"Evidence required",IF(OR(J55="Hypothesis",J55="Observed association",J55="Contradictory or unresolved",M55&lt;&gt;"Reviewed"),"Review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7" t="str">
        <x:f>IF(A56="","",IF(OR(B56="",C56="",D56="",E56="",F56="",G56="",H56="",I56="",J56="",K56="",L56="",M56=""),"Incomplete",IF(OR(G56="Evidence required",K56="Evidence required"),"Evidence required",IF(OR(J56="Hypothesis",J56="Observed association",J56="Contradictory or unresolved",M56&lt;&gt;"Reviewed"),"Review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7" t="str">
        <x:f>IF(A57="","",IF(OR(B57="",C57="",D57="",E57="",F57="",G57="",H57="",I57="",J57="",K57="",L57="",M57=""),"Incomplete",IF(OR(G57="Evidence required",K57="Evidence required"),"Evidence required",IF(OR(J57="Hypothesis",J57="Observed association",J57="Contradictory or unresolved",M57&lt;&gt;"Reviewed"),"Review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7" t="str">
        <x:f>IF(A58="","",IF(OR(B58="",C58="",D58="",E58="",F58="",G58="",H58="",I58="",J58="",K58="",L58="",M58=""),"Incomplete",IF(OR(G58="Evidence required",K58="Evidence required"),"Evidence required",IF(OR(J58="Hypothesis",J58="Observed association",J58="Contradictory or unresolved",M58&lt;&gt;"Reviewed"),"Review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7" t="str">
        <x:f>IF(A59="","",IF(OR(B59="",C59="",D59="",E59="",F59="",G59="",H59="",I59="",J59="",K59="",L59="",M59=""),"Incomplete",IF(OR(G59="Evidence required",K59="Evidence required"),"Evidence required",IF(OR(J59="Hypothesis",J59="Observed association",J59="Contradictory or unresolved",M59&lt;&gt;"Reviewed"),"Review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7" t="str">
        <x:f>IF(A60="","",IF(OR(B60="",C60="",D60="",E60="",F60="",G60="",H60="",I60="",J60="",K60="",L60="",M60=""),"Incomplete",IF(OR(G60="Evidence required",K60="Evidence required"),"Evidence required",IF(OR(J60="Hypothesis",J60="Observed association",J60="Contradictory or unresolved",M60&lt;&gt;"Reviewed"),"Review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7" t="str">
        <x:f>IF(A61="","",IF(OR(B61="",C61="",D61="",E61="",F61="",G61="",H61="",I61="",J61="",K61="",L61="",M61=""),"Incomplete",IF(OR(G61="Evidence required",K61="Evidence required"),"Evidence required",IF(OR(J61="Hypothesis",J61="Observed association",J61="Contradictory or unresolved",M61&lt;&gt;"Reviewed"),"Review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7" t="str">
        <x:f>IF(A62="","",IF(OR(B62="",C62="",D62="",E62="",F62="",G62="",H62="",I62="",J62="",K62="",L62="",M62=""),"Incomplete",IF(OR(G62="Evidence required",K62="Evidence required"),"Evidence required",IF(OR(J62="Hypothesis",J62="Observed association",J62="Contradictory or unresolved",M62&lt;&gt;"Reviewed"),"Review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7" t="str">
        <x:f>IF(A63="","",IF(OR(B63="",C63="",D63="",E63="",F63="",G63="",H63="",I63="",J63="",K63="",L63="",M63=""),"Incomplete",IF(OR(G63="Evidence required",K63="Evidence required"),"Evidence required",IF(OR(J63="Hypothesis",J63="Observed association",J63="Contradictory or unresolved",M63&lt;&gt;"Reviewed"),"Review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7" t="str">
        <x:f>IF(A64="","",IF(OR(B64="",C64="",D64="",E64="",F64="",G64="",H64="",I64="",J64="",K64="",L64="",M64=""),"Incomplete",IF(OR(G64="Evidence required",K64="Evidence required"),"Evidence required",IF(OR(J64="Hypothesis",J64="Observed association",J64="Contradictory or unresolved",M64&lt;&gt;"Reviewed"),"Review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7" t="str">
        <x:f>IF(A65="","",IF(OR(B65="",C65="",D65="",E65="",F65="",G65="",H65="",I65="",J65="",K65="",L65="",M65=""),"Incomplete",IF(OR(G65="Evidence required",K65="Evidence required"),"Evidence required",IF(OR(J65="Hypothesis",J65="Observed association",J65="Contradictory or unresolved",M65&lt;&gt;"Reviewed"),"Review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7" t="str">
        <x:f>IF(A66="","",IF(OR(B66="",C66="",D66="",E66="",F66="",G66="",H66="",I66="",J66="",K66="",L66="",M66=""),"Incomplete",IF(OR(G66="Evidence required",K66="Evidence required"),"Evidence required",IF(OR(J66="Hypothesis",J66="Observed association",J66="Contradictory or unresolved",M66&lt;&gt;"Reviewed"),"Review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7" t="str">
        <x:f>IF(A67="","",IF(OR(B67="",C67="",D67="",E67="",F67="",G67="",H67="",I67="",J67="",K67="",L67="",M67=""),"Incomplete",IF(OR(G67="Evidence required",K67="Evidence required"),"Evidence required",IF(OR(J67="Hypothesis",J67="Observed association",J67="Contradictory or unresolved",M67&lt;&gt;"Reviewed"),"Review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7" t="str">
        <x:f>IF(A68="","",IF(OR(B68="",C68="",D68="",E68="",F68="",G68="",H68="",I68="",J68="",K68="",L68="",M68=""),"Incomplete",IF(OR(G68="Evidence required",K68="Evidence required"),"Evidence required",IF(OR(J68="Hypothesis",J68="Observed association",J68="Contradictory or unresolved",M68&lt;&gt;"Reviewed"),"Review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7" t="str">
        <x:f>IF(A69="","",IF(OR(B69="",C69="",D69="",E69="",F69="",G69="",H69="",I69="",J69="",K69="",L69="",M69=""),"Incomplete",IF(OR(G69="Evidence required",K69="Evidence required"),"Evidence required",IF(OR(J69="Hypothesis",J69="Observed association",J69="Contradictory or unresolved",M69&lt;&gt;"Reviewed"),"Review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7" t="str">
        <x:f>IF(A70="","",IF(OR(B70="",C70="",D70="",E70="",F70="",G70="",H70="",I70="",J70="",K70="",L70="",M70=""),"Incomplete",IF(OR(G70="Evidence required",K70="Evidence required"),"Evidence required",IF(OR(J70="Hypothesis",J70="Observed association",J70="Contradictory or unresolved",M70&lt;&gt;"Reviewed"),"Review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7" t="str">
        <x:f>IF(A71="","",IF(OR(B71="",C71="",D71="",E71="",F71="",G71="",H71="",I71="",J71="",K71="",L71="",M71=""),"Incomplete",IF(OR(G71="Evidence required",K71="Evidence required"),"Evidence required",IF(OR(J71="Hypothesis",J71="Observed association",J71="Contradictory or unresolved",M71&lt;&gt;"Reviewed"),"Review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7" t="str">
        <x:f>IF(A72="","",IF(OR(B72="",C72="",D72="",E72="",F72="",G72="",H72="",I72="",J72="",K72="",L72="",M72=""),"Incomplete",IF(OR(G72="Evidence required",K72="Evidence required"),"Evidence required",IF(OR(J72="Hypothesis",J72="Observed association",J72="Contradictory or unresolved",M72&lt;&gt;"Reviewed"),"Review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7" t="str">
        <x:f>IF(A73="","",IF(OR(B73="",C73="",D73="",E73="",F73="",G73="",H73="",I73="",J73="",K73="",L73="",M73=""),"Incomplete",IF(OR(G73="Evidence required",K73="Evidence required"),"Evidence required",IF(OR(J73="Hypothesis",J73="Observed association",J73="Contradictory or unresolved",M73&lt;&gt;"Reviewed"),"Review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7" t="str">
        <x:f>IF(A74="","",IF(OR(B74="",C74="",D74="",E74="",F74="",G74="",H74="",I74="",J74="",K74="",L74="",M74=""),"Incomplete",IF(OR(G74="Evidence required",K74="Evidence required"),"Evidence required",IF(OR(J74="Hypothesis",J74="Observed association",J74="Contradictory or unresolved",M74&lt;&gt;"Reviewed"),"Review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7" t="str">
        <x:f>IF(A75="","",IF(OR(B75="",C75="",D75="",E75="",F75="",G75="",H75="",I75="",J75="",K75="",L75="",M75=""),"Incomplete",IF(OR(G75="Evidence required",K75="Evidence required"),"Evidence required",IF(OR(J75="Hypothesis",J75="Observed association",J75="Contradictory or unresolved",M75&lt;&gt;"Reviewed"),"Review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7" t="str">
        <x:f>IF(A76="","",IF(OR(B76="",C76="",D76="",E76="",F76="",G76="",H76="",I76="",J76="",K76="",L76="",M76=""),"Incomplete",IF(OR(G76="Evidence required",K76="Evidence required"),"Evidence required",IF(OR(J76="Hypothesis",J76="Observed association",J76="Contradictory or unresolved",M76&lt;&gt;"Reviewed"),"Review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7" t="str">
        <x:f>IF(A77="","",IF(OR(B77="",C77="",D77="",E77="",F77="",G77="",H77="",I77="",J77="",K77="",L77="",M77=""),"Incomplete",IF(OR(G77="Evidence required",K77="Evidence required"),"Evidence required",IF(OR(J77="Hypothesis",J77="Observed association",J77="Contradictory or unresolved",M77&lt;&gt;"Reviewed"),"Review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7" t="str">
        <x:f>IF(A78="","",IF(OR(B78="",C78="",D78="",E78="",F78="",G78="",H78="",I78="",J78="",K78="",L78="",M78=""),"Incomplete",IF(OR(G78="Evidence required",K78="Evidence required"),"Evidence required",IF(OR(J78="Hypothesis",J78="Observed association",J78="Contradictory or unresolved",M78&lt;&gt;"Reviewed"),"Review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7" t="str">
        <x:f>IF(A79="","",IF(OR(B79="",C79="",D79="",E79="",F79="",G79="",H79="",I79="",J79="",K79="",L79="",M79=""),"Incomplete",IF(OR(G79="Evidence required",K79="Evidence required"),"Evidence required",IF(OR(J79="Hypothesis",J79="Observed association",J79="Contradictory or unresolved",M79&lt;&gt;"Reviewed"),"Review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7" t="str">
        <x:f>IF(A80="","",IF(OR(B80="",C80="",D80="",E80="",F80="",G80="",H80="",I80="",J80="",K80="",L80="",M80=""),"Incomplete",IF(OR(G80="Evidence required",K80="Evidence required"),"Evidence required",IF(OR(J80="Hypothesis",J80="Observed association",J80="Contradictory or unresolved",M80&lt;&gt;"Reviewed"),"Review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7" t="str">
        <x:f>IF(A81="","",IF(OR(B81="",C81="",D81="",E81="",F81="",G81="",H81="",I81="",J81="",K81="",L81="",M81=""),"Incomplete",IF(OR(G81="Evidence required",K81="Evidence required"),"Evidence required",IF(OR(J81="Hypothesis",J81="Observed association",J81="Contradictory or unresolved",M81&lt;&gt;"Reviewed"),"Review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7" t="str">
        <x:f>IF(A82="","",IF(OR(B82="",C82="",D82="",E82="",F82="",G82="",H82="",I82="",J82="",K82="",L82="",M82=""),"Incomplete",IF(OR(G82="Evidence required",K82="Evidence required"),"Evidence required",IF(OR(J82="Hypothesis",J82="Observed association",J82="Contradictory or unresolved",M82&lt;&gt;"Reviewed"),"Review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7" t="str">
        <x:f>IF(A83="","",IF(OR(B83="",C83="",D83="",E83="",F83="",G83="",H83="",I83="",J83="",K83="",L83="",M83=""),"Incomplete",IF(OR(G83="Evidence required",K83="Evidence required"),"Evidence required",IF(OR(J83="Hypothesis",J83="Observed association",J83="Contradictory or unresolved",M83&lt;&gt;"Reviewed"),"Review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7" t="str">
        <x:f>IF(A84="","",IF(OR(B84="",C84="",D84="",E84="",F84="",G84="",H84="",I84="",J84="",K84="",L84="",M84=""),"Incomplete",IF(OR(G84="Evidence required",K84="Evidence required"),"Evidence required",IF(OR(J84="Hypothesis",J84="Observed association",J84="Contradictory or unresolved",M84&lt;&gt;"Reviewed"),"Review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7" t="str">
        <x:f>IF(A85="","",IF(OR(B85="",C85="",D85="",E85="",F85="",G85="",H85="",I85="",J85="",K85="",L85="",M85=""),"Incomplete",IF(OR(G85="Evidence required",K85="Evidence required"),"Evidence required",IF(OR(J85="Hypothesis",J85="Observed association",J85="Contradictory or unresolved",M85&lt;&gt;"Reviewed"),"Review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7" t="str">
        <x:f>IF(A86="","",IF(OR(B86="",C86="",D86="",E86="",F86="",G86="",H86="",I86="",J86="",K86="",L86="",M86=""),"Incomplete",IF(OR(G86="Evidence required",K86="Evidence required"),"Evidence required",IF(OR(J86="Hypothesis",J86="Observed association",J86="Contradictory or unresolved",M86&lt;&gt;"Reviewed"),"Review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7" t="str">
        <x:f>IF(A87="","",IF(OR(B87="",C87="",D87="",E87="",F87="",G87="",H87="",I87="",J87="",K87="",L87="",M87=""),"Incomplete",IF(OR(G87="Evidence required",K87="Evidence required"),"Evidence required",IF(OR(J87="Hypothesis",J87="Observed association",J87="Contradictory or unresolved",M87&lt;&gt;"Reviewed"),"Review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7" t="str">
        <x:f>IF(A88="","",IF(OR(B88="",C88="",D88="",E88="",F88="",G88="",H88="",I88="",J88="",K88="",L88="",M88=""),"Incomplete",IF(OR(G88="Evidence required",K88="Evidence required"),"Evidence required",IF(OR(J88="Hypothesis",J88="Observed association",J88="Contradictory or unresolved",M88&lt;&gt;"Reviewed"),"Review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7" t="str">
        <x:f>IF(A89="","",IF(OR(B89="",C89="",D89="",E89="",F89="",G89="",H89="",I89="",J89="",K89="",L89="",M89=""),"Incomplete",IF(OR(G89="Evidence required",K89="Evidence required"),"Evidence required",IF(OR(J89="Hypothesis",J89="Observed association",J89="Contradictory or unresolved",M89&lt;&gt;"Reviewed"),"Review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7" t="str">
        <x:f>IF(A90="","",IF(OR(B90="",C90="",D90="",E90="",F90="",G90="",H90="",I90="",J90="",K90="",L90="",M90=""),"Incomplete",IF(OR(G90="Evidence required",K90="Evidence required"),"Evidence required",IF(OR(J90="Hypothesis",J90="Observed association",J90="Contradictory or unresolved",M90&lt;&gt;"Reviewed"),"Review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7" t="str">
        <x:f>IF(A91="","",IF(OR(B91="",C91="",D91="",E91="",F91="",G91="",H91="",I91="",J91="",K91="",L91="",M91=""),"Incomplete",IF(OR(G91="Evidence required",K91="Evidence required"),"Evidence required",IF(OR(J91="Hypothesis",J91="Observed association",J91="Contradictory or unresolved",M91&lt;&gt;"Reviewed"),"Review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7" t="str">
        <x:f>IF(A92="","",IF(OR(B92="",C92="",D92="",E92="",F92="",G92="",H92="",I92="",J92="",K92="",L92="",M92=""),"Incomplete",IF(OR(G92="Evidence required",K92="Evidence required"),"Evidence required",IF(OR(J92="Hypothesis",J92="Observed association",J92="Contradictory or unresolved",M92&lt;&gt;"Reviewed"),"Review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7" t="str">
        <x:f>IF(A93="","",IF(OR(B93="",C93="",D93="",E93="",F93="",G93="",H93="",I93="",J93="",K93="",L93="",M93=""),"Incomplete",IF(OR(G93="Evidence required",K93="Evidence required"),"Evidence required",IF(OR(J93="Hypothesis",J93="Observed association",J93="Contradictory or unresolved",M93&lt;&gt;"Reviewed"),"Review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7" t="str">
        <x:f>IF(A94="","",IF(OR(B94="",C94="",D94="",E94="",F94="",G94="",H94="",I94="",J94="",K94="",L94="",M94=""),"Incomplete",IF(OR(G94="Evidence required",K94="Evidence required"),"Evidence required",IF(OR(J94="Hypothesis",J94="Observed association",J94="Contradictory or unresolved",M94&lt;&gt;"Reviewed"),"Review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7" t="str">
        <x:f>IF(A95="","",IF(OR(B95="",C95="",D95="",E95="",F95="",G95="",H95="",I95="",J95="",K95="",L95="",M95=""),"Incomplete",IF(OR(G95="Evidence required",K95="Evidence required"),"Evidence required",IF(OR(J95="Hypothesis",J95="Observed association",J95="Contradictory or unresolved",M95&lt;&gt;"Reviewed"),"Review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7" t="str">
        <x:f>IF(A96="","",IF(OR(B96="",C96="",D96="",E96="",F96="",G96="",H96="",I96="",J96="",K96="",L96="",M96=""),"Incomplete",IF(OR(G96="Evidence required",K96="Evidence required"),"Evidence required",IF(OR(J96="Hypothesis",J96="Observed association",J96="Contradictory or unresolved",M96&lt;&gt;"Reviewed"),"Review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7" t="str">
        <x:f>IF(A97="","",IF(OR(B97="",C97="",D97="",E97="",F97="",G97="",H97="",I97="",J97="",K97="",L97="",M97=""),"Incomplete",IF(OR(G97="Evidence required",K97="Evidence required"),"Evidence required",IF(OR(J97="Hypothesis",J97="Observed association",J97="Contradictory or unresolved",M97&lt;&gt;"Reviewed"),"Review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7" t="str">
        <x:f>IF(A98="","",IF(OR(B98="",C98="",D98="",E98="",F98="",G98="",H98="",I98="",J98="",K98="",L98="",M98=""),"Incomplete",IF(OR(G98="Evidence required",K98="Evidence required"),"Evidence required",IF(OR(J98="Hypothesis",J98="Observed association",J98="Contradictory or unresolved",M98&lt;&gt;"Reviewed"),"Review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7" t="str">
        <x:f>IF(A99="","",IF(OR(B99="",C99="",D99="",E99="",F99="",G99="",H99="",I99="",J99="",K99="",L99="",M99=""),"Incomplete",IF(OR(G99="Evidence required",K99="Evidence required"),"Evidence required",IF(OR(J99="Hypothesis",J99="Observed association",J99="Contradictory or unresolved",M99&lt;&gt;"Reviewed"),"Review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7" t="str">
        <x:f>IF(A100="","",IF(OR(B100="",C100="",D100="",E100="",F100="",G100="",H100="",I100="",J100="",K100="",L100="",M100=""),"Incomplete",IF(OR(G100="Evidence required",K100="Evidence required"),"Evidence required",IF(OR(J100="Hypothesis",J100="Observed association",J100="Contradictory or unresolved",M100&lt;&gt;"Reviewed"),"Review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7" t="str">
        <x:f>IF(A101="","",IF(OR(B101="",C101="",D101="",E101="",F101="",G101="",H101="",I101="",J101="",K101="",L101="",M101=""),"Incomplete",IF(OR(G101="Evidence required",K101="Evidence required"),"Evidence required",IF(OR(J101="Hypothesis",J101="Observed association",J101="Contradictory or unresolved",M101&lt;&gt;"Reviewed"),"Review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7" t="str">
        <x:f>IF(A102="","",IF(OR(B102="",C102="",D102="",E102="",F102="",G102="",H102="",I102="",J102="",K102="",L102="",M102=""),"Incomplete",IF(OR(G102="Evidence required",K102="Evidence required"),"Evidence required",IF(OR(J102="Hypothesis",J102="Observed association",J102="Contradictory or unresolved",M102&lt;&gt;"Reviewed"),"Review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7" t="str">
        <x:f>IF(A103="","",IF(OR(B103="",C103="",D103="",E103="",F103="",G103="",H103="",I103="",J103="",K103="",L103="",M103=""),"Incomplete",IF(OR(G103="Evidence required",K103="Evidence required"),"Evidence required",IF(OR(J103="Hypothesis",J103="Observed association",J103="Contradictory or unresolved",M103&lt;&gt;"Reviewed"),"Review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7" t="str">
        <x:f>IF(A104="","",IF(OR(B104="",C104="",D104="",E104="",F104="",G104="",H104="",I104="",J104="",K104="",L104="",M104=""),"Incomplete",IF(OR(G104="Evidence required",K104="Evidence required"),"Evidence required",IF(OR(J104="Hypothesis",J104="Observed association",J104="Contradictory or unresolved",M104&lt;&gt;"Reviewed"),"Review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8" t="str">
        <x:f>IF(A105="","",IF(OR(B105="",C105="",D105="",E105="",F105="",G105="",H105="",I105="",J105="",K105="",L105="",M105=""),"Incomplete",IF(OR(G105="Evidence required",K105="Evidence required"),"Evidence required",IF(OR(J105="Hypothesis",J105="Observed association",J105="Contradictory or unresolved",M105&lt;&gt;"Reviewed"),"Review required","Ready for qualified review"))))</x:f>
      </x:c>
    </x:row>
  </x:sheetData>
  <x:mergeCells>
    <x:mergeCell ref="A1:N1"/>
    <x:mergeCell ref="A2:N2"/>
  </x:mergeCells>
  <x:conditionalFormatting sqref="N6:N1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105">
      <x:formula1>"Active product property,Buffer system,Stabilizer / protectant,Surfactant / interface control,Tonicity / bulking component,Antioxidant / chelator,Preservative,Headspace / oxygen control,Container / presentation,Other"</x:formula1>
    </x:dataValidation>
    <x:dataValidation type="list" sqref="J6:J105">
      <x:formula1>"Hypothesis,Observed association,Designed-study support,Multi-source support,Contradictory or unresolved"</x:formula1>
    </x:dataValidation>
    <x:dataValidation type="list" sqref="M6:M1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34" hidden="0" customWidth="1"/>
    <x:col min="5" max="5" width="38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30" hidden="0" customWidth="1"/>
    <x:col min="11" max="11" width="18" hidden="0" customWidth="1"/>
    <x:col min="12" max="12" width="23" hidden="0" customWidth="1"/>
    <x:col min="13" max="13" width="38" hidden="0" customWidth="1"/>
    <x:col min="14" max="14" width="32" hidden="0" customWidth="1"/>
    <x:col min="15" max="15" width="26" hidden="0" customWidth="1"/>
    <x:col min="16" max="16" width="17" hidden="0" customWidth="1"/>
    <x:col min="17" max="17" width="22" hidden="0" customWidth="1"/>
  </x:cols>
  <x:sheetData>
    <x:row r="1" ht="28" customHeight="1">
      <x:c r="A1" s="3" t="str">
        <x:v>Process &amp; Fill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Trace actual formulation, filtration, hold, fill-finish, presentation, handling, shipping, and use exposures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34" customHeight="1">
      <x:c r="A5" s="47" t="str">
        <x:v>Process ID</x:v>
      </x:c>
      <x:c r="B5" s="48" t="str">
        <x:v>Stage / step</x:v>
      </x:c>
      <x:c r="C5" s="48" t="str">
        <x:v>Step type</x:v>
      </x:c>
      <x:c r="D5" s="48" t="str">
        <x:v>Purpose / product state</x:v>
      </x:c>
      <x:c r="E5" s="48" t="str">
        <x:v>Exposure / proposed mechanism</x:v>
      </x:c>
      <x:c r="F5" s="48" t="str">
        <x:v>Attribute IDs</x:v>
      </x:c>
      <x:c r="G5" s="48" t="str">
        <x:v>Material / equipment interface</x:v>
      </x:c>
      <x:c r="H5" s="48" t="str">
        <x:v>Controlled condition / range reference</x:v>
      </x:c>
      <x:c r="I5" s="48" t="str">
        <x:v>Sterility / integrity interface</x:v>
      </x:c>
      <x:c r="J5" s="48" t="str">
        <x:v>Sampling / monitoring</x:v>
      </x:c>
      <x:c r="K5" s="48" t="str">
        <x:v>Evidence IDs</x:v>
      </x:c>
      <x:c r="L5" s="48" t="str">
        <x:v>Evidence strength</x:v>
      </x:c>
      <x:c r="M5" s="48" t="str">
        <x:v>Limitations / contradiction</x:v>
      </x:c>
      <x:c r="N5" s="48" t="str">
        <x:v>Lifecycle trigger</x:v>
      </x:c>
      <x:c r="O5" s="48" t="str">
        <x:v>Owner role</x:v>
      </x:c>
      <x:c r="P5" s="48" t="str">
        <x:v>Review status</x:v>
      </x:c>
      <x:c r="Q5" s="49" t="str">
        <x:v>Attention</x:v>
      </x:c>
    </x:row>
    <x:row r="6">
      <x:c r="A6" s="60" t="str">
        <x:v>PROC-001</x:v>
      </x:c>
      <x:c r="B6" s="60" t="str">
        <x:v>Formulation compounding</x:v>
      </x:c>
      <x:c r="C6" s="60" t="str">
        <x:v>Compounding / mixing</x:v>
      </x:c>
      <x:c r="D6" s="60" t="str">
        <x:v>Prepare defined formulated bulk under the current process.</x:v>
      </x:c>
      <x:c r="E6" s="60" t="str">
        <x:v>Mixing, addition sequence, interfaces, oxygen, light, and temperature may affect product state.</x:v>
      </x:c>
      <x:c r="F6" s="60" t="str">
        <x:v>QPA-001; QPA-002; QPA-003; QPA-004</x:v>
      </x:c>
      <x:c r="G6" s="60" t="str">
        <x:v>Vessel, impeller, tubing, additions, and headspace</x:v>
      </x:c>
      <x:c r="H6" s="60" t="str">
        <x:v>Approved process and condition reference</x:v>
      </x:c>
      <x:c r="I6" s="60" t="str">
        <x:v>Controlled bioburden and transfer strategy; sterility assurance assessed separately</x:v>
      </x:c>
      <x:c r="J6" s="60" t="str">
        <x:v>Controlled process monitoring and product sampling</x:v>
      </x:c>
      <x:c r="K6" s="60" t="str">
        <x:v>EVD-005; EVD-006</x:v>
      </x:c>
      <x:c r="L6" s="60" t="str">
        <x:v>Designed-study support</x:v>
      </x:c>
      <x:c r="M6" s="60" t="str">
        <x:v>Proposed line-hold/agitation sequence not covered by all current evidence.</x:v>
      </x:c>
      <x:c r="N6" s="60" t="str">
        <x:v>Composition, order, equipment, scale, mixing, gas, light, hold, or site change</x:v>
      </x:c>
      <x:c r="O6" s="60" t="str">
        <x:v>Formulation / Fill-finish MSAT</x:v>
      </x:c>
      <x:c r="P6" s="60" t="str">
        <x:v>Reviewed</x:v>
      </x:c>
      <x:c r="Q6" s="66" t="str">
        <x:f>IF(A6="","",IF(OR(B6="",C6="",D6="",E6="",F6="",G6="",H6="",I6="",J6="",K6="",L6="",M6="",N6="",O6="",P6=""),"Incomplete",IF(H6="Evidence required","Evidence required",IF(OR(L6="Hypothesis",L6="Observed association",L6="Contradictory or unresolved",P6&lt;&gt;"Reviewed"),"Review required","Ready for qualified review"))))</x:f>
        <x:v>Ready for qualified review</x:v>
      </x:c>
    </x:row>
    <x:row r="7">
      <x:c r="A7" s="61" t="str">
        <x:v>PROC-002</x:v>
      </x:c>
      <x:c r="B7" s="61" t="str">
        <x:v>Sterile filtration</x:v>
      </x:c>
      <x:c r="C7" s="61" t="str">
        <x:v>Filtration</x:v>
      </x:c>
      <x:c r="D7" s="61" t="str">
        <x:v>Filter formulated bulk within the approved sterile-process and product scope.</x:v>
      </x:c>
      <x:c r="E7" s="61" t="str">
        <x:v>Filter material, load, pressure/flow, adsorption, interfaces, time, and interruption can affect product and process.</x:v>
      </x:c>
      <x:c r="F7" s="61" t="str">
        <x:v>QPA-001; QPA-002; QPA-006</x:v>
      </x:c>
      <x:c r="G7" s="61" t="str">
        <x:v>Filter, tubing, vessel, and transfer train</x:v>
      </x:c>
      <x:c r="H7" s="61" t="str">
        <x:v>Approved filtration and validation references</x:v>
      </x:c>
      <x:c r="I7" s="61" t="str">
        <x:v>Filter validation, integrity, aseptic connection, and contamination-control records</x:v>
      </x:c>
      <x:c r="J7" s="61" t="str">
        <x:v>Filter/process monitoring and pre/post product assessment</x:v>
      </x:c>
      <x:c r="K7" s="61" t="str">
        <x:v>EVD-003; EVD-005; EVD-006</x:v>
      </x:c>
      <x:c r="L7" s="61" t="str">
        <x:v>Designed-study support</x:v>
      </x:c>
      <x:c r="M7" s="61" t="str">
        <x:v>Current filter scope only; stopper change is indirect, revised hold impact requires review.</x:v>
      </x:c>
      <x:c r="N7" s="61" t="str">
        <x:v>Filter, supplier, load, process, interruption, equipment, or product change</x:v>
      </x:c>
      <x:c r="O7" s="61" t="str">
        <x:v>Fill-finish MSAT / Validation</x:v>
      </x:c>
      <x:c r="P7" s="61" t="str">
        <x:v>Reviewed</x:v>
      </x:c>
      <x:c r="Q7" s="67" t="str">
        <x:f>IF(A7="","",IF(OR(B7="",C7="",D7="",E7="",F7="",G7="",H7="",I7="",J7="",K7="",L7="",M7="",N7="",O7="",P7=""),"Incomplete",IF(H7="Evidence required","Evidence required",IF(OR(L7="Hypothesis",L7="Observed association",L7="Contradictory or unresolved",P7&lt;&gt;"Reviewed"),"Review required","Ready for qualified review"))))</x:f>
        <x:v>Ready for qualified review</x:v>
      </x:c>
    </x:row>
    <x:row r="8">
      <x:c r="A8" s="61" t="str">
        <x:v>PROC-003</x:v>
      </x:c>
      <x:c r="B8" s="61" t="str">
        <x:v>Post-filtration line hold and transfer</x:v>
      </x:c>
      <x:c r="C8" s="61" t="str">
        <x:v>Hold / transfer</x:v>
      </x:c>
      <x:c r="D8" s="61" t="str">
        <x:v>Maintain filtered bulk before and during filling.</x:v>
      </x:c>
      <x:c r="E8" s="61" t="str">
        <x:v>Revised hold/agitation, tubing, pump, interfaces, temperature, light, and oxygen are competing product-risk hypotheses.</x:v>
      </x:c>
      <x:c r="F8" s="61" t="str">
        <x:v>QPA-001; QPA-002; QPA-003; QPA-004</x:v>
      </x:c>
      <x:c r="G8" s="61" t="str">
        <x:v>Hold vessel, mixer, transfer line, pump, and filling connection</x:v>
      </x:c>
      <x:c r="H8" s="61" t="str">
        <x:v>Controlled proposed-process assessment reference pending</x:v>
      </x:c>
      <x:c r="I8" s="61" t="str">
        <x:v>Closed sterile hold and transfer controls assessed in the validation/change record</x:v>
      </x:c>
      <x:c r="J8" s="61" t="str">
        <x:v>Representative hold, mixing, transfer, and product sampling plan under review</x:v>
      </x:c>
      <x:c r="K8" s="61" t="str">
        <x:v>EVD-005; EVD-006; EVD-009</x:v>
      </x:c>
      <x:c r="L8" s="61" t="str">
        <x:v>Contradictory or unresolved</x:v>
      </x:c>
      <x:c r="M8" s="61" t="str">
        <x:v>Particle signal is low-level and confounded by transport, container, sample, and method variables.</x:v>
      </x:c>
      <x:c r="N8" s="61" t="str">
        <x:v>Hold, mixing, equipment, tubing, pump, scale, sampling, or filling-sequence change</x:v>
      </x:c>
      <x:c r="O8" s="61" t="str">
        <x:v>Fill-finish MSAT / Product quality</x:v>
      </x:c>
      <x:c r="P8" s="61" t="str">
        <x:v>In review</x:v>
      </x:c>
      <x:c r="Q8" s="67" t="str">
        <x:f>IF(A8="","",IF(OR(B8="",C8="",D8="",E8="",F8="",G8="",H8="",I8="",J8="",K8="",L8="",M8="",N8="",O8="",P8=""),"Incomplete",IF(H8="Evidence required","Evidence required",IF(OR(L8="Hypothesis",L8="Observed association",L8="Contradictory or unresolved",P8&lt;&gt;"Reviewed"),"Review required","Ready for qualified review"))))</x:f>
        <x:v>Review required</x:v>
      </x:c>
    </x:row>
    <x:row r="9">
      <x:c r="A9" s="61" t="str">
        <x:v>PROC-004</x:v>
      </x:c>
      <x:c r="B9" s="61" t="str">
        <x:v>Aseptic filling</x:v>
      </x:c>
      <x:c r="C9" s="61" t="str">
        <x:v>Filling</x:v>
      </x:c>
      <x:c r="D9" s="61" t="str">
        <x:v>Fill the defined presentation while controlling process and product exposure.</x:v>
      </x:c>
      <x:c r="E9" s="61" t="str">
        <x:v>Filling path, speed, interfaces, line time, environment, and product state may affect quality and sterility assurance.</x:v>
      </x:c>
      <x:c r="F9" s="61" t="str">
        <x:v>QPA-001; QPA-002; QPA-003; QPA-006; QPA-007</x:v>
      </x:c>
      <x:c r="G9" s="61" t="str">
        <x:v>Filling system, needles, tubing, vial, and environment</x:v>
      </x:c>
      <x:c r="H9" s="61" t="str">
        <x:v>Approved fill-process and validation references; change impact open</x:v>
      </x:c>
      <x:c r="I9" s="61" t="str">
        <x:v>Aseptic-process, intervention, environmental, and container-control records</x:v>
      </x:c>
      <x:c r="J9" s="61" t="str">
        <x:v>Process monitoring plus representative product and presentation assessment</x:v>
      </x:c>
      <x:c r="K9" s="61" t="str">
        <x:v>EVD-003; EVD-005; EVD-006</x:v>
      </x:c>
      <x:c r="L9" s="61" t="str">
        <x:v>Designed-study support</x:v>
      </x:c>
      <x:c r="M9" s="61" t="str">
        <x:v>Molecular stability and aseptic control remain separate conclusions.</x:v>
      </x:c>
      <x:c r="N9" s="61" t="str">
        <x:v>Line, speed, equipment, scale, site, intervention, exposure, or product change</x:v>
      </x:c>
      <x:c r="O9" s="61" t="str">
        <x:v>Fill-finish / Quality / Validation</x:v>
      </x:c>
      <x:c r="P9" s="61" t="str">
        <x:v>In review</x:v>
      </x:c>
      <x:c r="Q9" s="67" t="str">
        <x:f>IF(A9="","",IF(OR(B9="",C9="",D9="",E9="",F9="",G9="",H9="",I9="",J9="",K9="",L9="",M9="",N9="",O9="",P9=""),"Incomplete",IF(H9="Evidence required","Evidence required",IF(OR(L9="Hypothesis",L9="Observed association",L9="Contradictory or unresolved",P9&lt;&gt;"Reviewed"),"Review required","Ready for qualified review"))))</x:f>
        <x:v>Review required</x:v>
      </x:c>
    </x:row>
    <x:row r="10">
      <x:c r="A10" s="61" t="str">
        <x:v>PROC-005</x:v>
      </x:c>
      <x:c r="B10" s="61" t="str">
        <x:v>Stoppering and capping</x:v>
      </x:c>
      <x:c r="C10" s="61" t="str">
        <x:v>Closing / capping</x:v>
      </x:c>
      <x:c r="D10" s="61" t="str">
        <x:v>Create the defined closed presentation with current vial and proposed stopper.</x:v>
      </x:c>
      <x:c r="E10" s="61" t="str">
        <x:v>Component, assembly, compression, coating, equipment, headspace, and handling may affect integrity, interaction, and function.</x:v>
      </x:c>
      <x:c r="F10" s="61" t="str">
        <x:v>QPA-002; QPA-005; QPA-006; QPA-007</x:v>
      </x:c>
      <x:c r="G10" s="61" t="str">
        <x:v>Vial, proposed stopper, cap, closing equipment, and headspace</x:v>
      </x:c>
      <x:c r="H10" s="61" t="str">
        <x:v>Controlled proposed-system assessment reference pending</x:v>
      </x:c>
      <x:c r="I10" s="61" t="str">
        <x:v>Container-closure integrity and sterile-product controls require qualified system evidence</x:v>
      </x:c>
      <x:c r="J10" s="61" t="str">
        <x:v>Component, assembly, integrity, functional, and product monitoring plan</x:v>
      </x:c>
      <x:c r="K10" s="61" t="str">
        <x:v>EVD-003; EVD-007; EVD-008; EVD-009</x:v>
      </x:c>
      <x:c r="L10" s="61" t="str">
        <x:v>Contradictory or unresolved</x:v>
      </x:c>
      <x:c r="M10" s="61" t="str">
        <x:v>Supplier evidence does not establish complete-system suitability or equivalence.</x:v>
      </x:c>
      <x:c r="N10" s="61" t="str">
        <x:v>Component, supplier, coating, equipment, closure, process, aging, shipping, or use change</x:v>
      </x:c>
      <x:c r="O10" s="61" t="str">
        <x:v>Container engineering / Fill-finish / Quality</x:v>
      </x:c>
      <x:c r="P10" s="61" t="str">
        <x:v>In review</x:v>
      </x:c>
      <x:c r="Q10" s="67" t="str">
        <x:f>IF(A10="","",IF(OR(B10="",C10="",D10="",E10="",F10="",G10="",H10="",I10="",J10="",K10="",L10="",M10="",N10="",O10="",P10=""),"Incomplete",IF(H10="Evidence required","Evidence required",IF(OR(L10="Hypothesis",L10="Observed association",L10="Contradictory or unresolved",P10&lt;&gt;"Reviewed"),"Review required","Ready for qualified review"))))</x:f>
        <x:v>Review required</x:v>
      </x:c>
    </x:row>
    <x:row r="11">
      <x:c r="A11" s="61" t="str">
        <x:v>PROC-006</x:v>
      </x:c>
      <x:c r="B11" s="61" t="str">
        <x:v>Packaging, transport, storage handoff</x:v>
      </x:c>
      <x:c r="C11" s="61" t="str">
        <x:v>Shipping / distribution</x:v>
      </x:c>
      <x:c r="D11" s="61" t="str">
        <x:v>Protect the presentation through the defined shipping and storage lifecycle.</x:v>
      </x:c>
      <x:c r="E11" s="61" t="str">
        <x:v>Vibration, shock, orientation, light, temperature, handling, and headspace may affect product or presentation.</x:v>
      </x:c>
      <x:c r="F11" s="61" t="str">
        <x:v>QPA-001; QPA-002; QPA-003; QPA-005; QPA-006; QPA-007</x:v>
      </x:c>
      <x:c r="G11" s="61" t="str">
        <x:v>Secondary packaging, shipper, lane, monitor, and presentation</x:v>
      </x:c>
      <x:c r="H11" s="61" t="str">
        <x:v>Controlled shipping and storage references; change-specific bridge open</x:v>
      </x:c>
      <x:c r="I11" s="61" t="str">
        <x:v>Integrity after representative handling and aging remains a system question</x:v>
      </x:c>
      <x:c r="J11" s="61" t="str">
        <x:v>Transport monitors, inspection, integrity, and product/stability assessments</x:v>
      </x:c>
      <x:c r="K11" s="61" t="str">
        <x:v>EVD-005; EVD-007; EVD-009</x:v>
      </x:c>
      <x:c r="L11" s="61" t="str">
        <x:v>Observed association</x:v>
      </x:c>
      <x:c r="M11" s="61" t="str">
        <x:v>Selected simulation samples show a signal; representativeness and causality remain open.</x:v>
      </x:c>
      <x:c r="N11" s="61" t="str">
        <x:v>Shipper, lane, orientation, presentation, packaging, handling, storage, or excursion change</x:v>
      </x:c>
      <x:c r="O11" s="61" t="str">
        <x:v>Supply chain / Stability / Product quality</x:v>
      </x:c>
      <x:c r="P11" s="61" t="str">
        <x:v>In review</x:v>
      </x:c>
      <x:c r="Q11" s="67" t="str">
        <x:f>IF(A11="","",IF(OR(B11="",C11="",D11="",E11="",F11="",G11="",H11="",I11="",J11="",K11="",L11="",M11="",N11="",O11="",P11=""),"Incomplete",IF(H11="Evidence required","Evidence required",IF(OR(L11="Hypothesis",L11="Observed association",L11="Contradictory or unresolved",P11&lt;&gt;"Reviewed"),"Review required","Ready for qualified review"))))</x:f>
        <x:v>Review required</x:v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7" t="str">
        <x:f>IF(A12="","",IF(OR(B12="",C12="",D12="",E12="",F12="",G12="",H12="",I12="",J12="",K12="",L12="",M12="",N12="",O12="",P12=""),"Incomplete",IF(H12="Evidence required","Evidence required",IF(OR(L12="Hypothesis",L12="Observed association",L12="Contradictory or unresolved",P12&lt;&gt;"Reviewed"),"Review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7" t="str">
        <x:f>IF(A13="","",IF(OR(B13="",C13="",D13="",E13="",F13="",G13="",H13="",I13="",J13="",K13="",L13="",M13="",N13="",O13="",P13=""),"Incomplete",IF(H13="Evidence required","Evidence required",IF(OR(L13="Hypothesis",L13="Observed association",L13="Contradictory or unresolved",P13&lt;&gt;"Reviewed"),"Review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7" t="str">
        <x:f>IF(A14="","",IF(OR(B14="",C14="",D14="",E14="",F14="",G14="",H14="",I14="",J14="",K14="",L14="",M14="",N14="",O14="",P14=""),"Incomplete",IF(H14="Evidence required","Evidence required",IF(OR(L14="Hypothesis",L14="Observed association",L14="Contradictory or unresolved",P14&lt;&gt;"Reviewed"),"Review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7" t="str">
        <x:f>IF(A15="","",IF(OR(B15="",C15="",D15="",E15="",F15="",G15="",H15="",I15="",J15="",K15="",L15="",M15="",N15="",O15="",P15=""),"Incomplete",IF(H15="Evidence required","Evidence required",IF(OR(L15="Hypothesis",L15="Observed association",L15="Contradictory or unresolved",P15&lt;&gt;"Reviewed"),"Review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7" t="str">
        <x:f>IF(A16="","",IF(OR(B16="",C16="",D16="",E16="",F16="",G16="",H16="",I16="",J16="",K16="",L16="",M16="",N16="",O16="",P16=""),"Incomplete",IF(H16="Evidence required","Evidence required",IF(OR(L16="Hypothesis",L16="Observed association",L16="Contradictory or unresolved",P16&lt;&gt;"Reviewed"),"Review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7" t="str">
        <x:f>IF(A17="","",IF(OR(B17="",C17="",D17="",E17="",F17="",G17="",H17="",I17="",J17="",K17="",L17="",M17="",N17="",O17="",P17=""),"Incomplete",IF(H17="Evidence required","Evidence required",IF(OR(L17="Hypothesis",L17="Observed association",L17="Contradictory or unresolved",P17&lt;&gt;"Reviewed"),"Review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7" t="str">
        <x:f>IF(A18="","",IF(OR(B18="",C18="",D18="",E18="",F18="",G18="",H18="",I18="",J18="",K18="",L18="",M18="",N18="",O18="",P18=""),"Incomplete",IF(H18="Evidence required","Evidence required",IF(OR(L18="Hypothesis",L18="Observed association",L18="Contradictory or unresolved",P18&lt;&gt;"Reviewed"),"Review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7" t="str">
        <x:f>IF(A19="","",IF(OR(B19="",C19="",D19="",E19="",F19="",G19="",H19="",I19="",J19="",K19="",L19="",M19="",N19="",O19="",P19=""),"Incomplete",IF(H19="Evidence required","Evidence required",IF(OR(L19="Hypothesis",L19="Observed association",L19="Contradictory or unresolved",P19&lt;&gt;"Reviewed"),"Review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7" t="str">
        <x:f>IF(A20="","",IF(OR(B20="",C20="",D20="",E20="",F20="",G20="",H20="",I20="",J20="",K20="",L20="",M20="",N20="",O20="",P20=""),"Incomplete",IF(H20="Evidence required","Evidence required",IF(OR(L20="Hypothesis",L20="Observed association",L20="Contradictory or unresolved",P20&lt;&gt;"Reviewed"),"Review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7" t="str">
        <x:f>IF(A21="","",IF(OR(B21="",C21="",D21="",E21="",F21="",G21="",H21="",I21="",J21="",K21="",L21="",M21="",N21="",O21="",P21=""),"Incomplete",IF(H21="Evidence required","Evidence required",IF(OR(L21="Hypothesis",L21="Observed association",L21="Contradictory or unresolved",P21&lt;&gt;"Reviewed"),"Review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7" t="str">
        <x:f>IF(A22="","",IF(OR(B22="",C22="",D22="",E22="",F22="",G22="",H22="",I22="",J22="",K22="",L22="",M22="",N22="",O22="",P22=""),"Incomplete",IF(H22="Evidence required","Evidence required",IF(OR(L22="Hypothesis",L22="Observed association",L22="Contradictory or unresolved",P22&lt;&gt;"Reviewed"),"Review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7" t="str">
        <x:f>IF(A23="","",IF(OR(B23="",C23="",D23="",E23="",F23="",G23="",H23="",I23="",J23="",K23="",L23="",M23="",N23="",O23="",P23=""),"Incomplete",IF(H23="Evidence required","Evidence required",IF(OR(L23="Hypothesis",L23="Observed association",L23="Contradictory or unresolved",P23&lt;&gt;"Reviewed"),"Review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7" t="str">
        <x:f>IF(A24="","",IF(OR(B24="",C24="",D24="",E24="",F24="",G24="",H24="",I24="",J24="",K24="",L24="",M24="",N24="",O24="",P24=""),"Incomplete",IF(H24="Evidence required","Evidence required",IF(OR(L24="Hypothesis",L24="Observed association",L24="Contradictory or unresolved",P24&lt;&gt;"Reviewed"),"Review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7" t="str">
        <x:f>IF(A25="","",IF(OR(B25="",C25="",D25="",E25="",F25="",G25="",H25="",I25="",J25="",K25="",L25="",M25="",N25="",O25="",P25=""),"Incomplete",IF(H25="Evidence required","Evidence required",IF(OR(L25="Hypothesis",L25="Observed association",L25="Contradictory or unresolved",P25&lt;&gt;"Reviewed"),"Review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7" t="str">
        <x:f>IF(A26="","",IF(OR(B26="",C26="",D26="",E26="",F26="",G26="",H26="",I26="",J26="",K26="",L26="",M26="",N26="",O26="",P26=""),"Incomplete",IF(H26="Evidence required","Evidence required",IF(OR(L26="Hypothesis",L26="Observed association",L26="Contradictory or unresolved",P26&lt;&gt;"Reviewed"),"Review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7" t="str">
        <x:f>IF(A27="","",IF(OR(B27="",C27="",D27="",E27="",F27="",G27="",H27="",I27="",J27="",K27="",L27="",M27="",N27="",O27="",P27=""),"Incomplete",IF(H27="Evidence required","Evidence required",IF(OR(L27="Hypothesis",L27="Observed association",L27="Contradictory or unresolved",P27&lt;&gt;"Reviewed"),"Review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7" t="str">
        <x:f>IF(A28="","",IF(OR(B28="",C28="",D28="",E28="",F28="",G28="",H28="",I28="",J28="",K28="",L28="",M28="",N28="",O28="",P28=""),"Incomplete",IF(H28="Evidence required","Evidence required",IF(OR(L28="Hypothesis",L28="Observed association",L28="Contradictory or unresolved",P28&lt;&gt;"Reviewed"),"Review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7" t="str">
        <x:f>IF(A29="","",IF(OR(B29="",C29="",D29="",E29="",F29="",G29="",H29="",I29="",J29="",K29="",L29="",M29="",N29="",O29="",P29=""),"Incomplete",IF(H29="Evidence required","Evidence required",IF(OR(L29="Hypothesis",L29="Observed association",L29="Contradictory or unresolved",P29&lt;&gt;"Reviewed"),"Review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7" t="str">
        <x:f>IF(A30="","",IF(OR(B30="",C30="",D30="",E30="",F30="",G30="",H30="",I30="",J30="",K30="",L30="",M30="",N30="",O30="",P30=""),"Incomplete",IF(H30="Evidence required","Evidence required",IF(OR(L30="Hypothesis",L30="Observed association",L30="Contradictory or unresolved",P30&lt;&gt;"Reviewed"),"Review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7" t="str">
        <x:f>IF(A31="","",IF(OR(B31="",C31="",D31="",E31="",F31="",G31="",H31="",I31="",J31="",K31="",L31="",M31="",N31="",O31="",P31=""),"Incomplete",IF(H31="Evidence required","Evidence required",IF(OR(L31="Hypothesis",L31="Observed association",L31="Contradictory or unresolved",P31&lt;&gt;"Reviewed"),"Review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7" t="str">
        <x:f>IF(A32="","",IF(OR(B32="",C32="",D32="",E32="",F32="",G32="",H32="",I32="",J32="",K32="",L32="",M32="",N32="",O32="",P32=""),"Incomplete",IF(H32="Evidence required","Evidence required",IF(OR(L32="Hypothesis",L32="Observed association",L32="Contradictory or unresolved",P32&lt;&gt;"Reviewed"),"Review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7" t="str">
        <x:f>IF(A33="","",IF(OR(B33="",C33="",D33="",E33="",F33="",G33="",H33="",I33="",J33="",K33="",L33="",M33="",N33="",O33="",P33=""),"Incomplete",IF(H33="Evidence required","Evidence required",IF(OR(L33="Hypothesis",L33="Observed association",L33="Contradictory or unresolved",P33&lt;&gt;"Reviewed"),"Review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7" t="str">
        <x:f>IF(A34="","",IF(OR(B34="",C34="",D34="",E34="",F34="",G34="",H34="",I34="",J34="",K34="",L34="",M34="",N34="",O34="",P34=""),"Incomplete",IF(H34="Evidence required","Evidence required",IF(OR(L34="Hypothesis",L34="Observed association",L34="Contradictory or unresolved",P34&lt;&gt;"Reviewed"),"Review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7" t="str">
        <x:f>IF(A35="","",IF(OR(B35="",C35="",D35="",E35="",F35="",G35="",H35="",I35="",J35="",K35="",L35="",M35="",N35="",O35="",P35=""),"Incomplete",IF(H35="Evidence required","Evidence required",IF(OR(L35="Hypothesis",L35="Observed association",L35="Contradictory or unresolved",P35&lt;&gt;"Reviewed"),"Review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7" t="str">
        <x:f>IF(A36="","",IF(OR(B36="",C36="",D36="",E36="",F36="",G36="",H36="",I36="",J36="",K36="",L36="",M36="",N36="",O36="",P36=""),"Incomplete",IF(H36="Evidence required","Evidence required",IF(OR(L36="Hypothesis",L36="Observed association",L36="Contradictory or unresolved",P36&lt;&gt;"Reviewed"),"Review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7" t="str">
        <x:f>IF(A37="","",IF(OR(B37="",C37="",D37="",E37="",F37="",G37="",H37="",I37="",J37="",K37="",L37="",M37="",N37="",O37="",P37=""),"Incomplete",IF(H37="Evidence required","Evidence required",IF(OR(L37="Hypothesis",L37="Observed association",L37="Contradictory or unresolved",P37&lt;&gt;"Reviewed"),"Review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7" t="str">
        <x:f>IF(A38="","",IF(OR(B38="",C38="",D38="",E38="",F38="",G38="",H38="",I38="",J38="",K38="",L38="",M38="",N38="",O38="",P38=""),"Incomplete",IF(H38="Evidence required","Evidence required",IF(OR(L38="Hypothesis",L38="Observed association",L38="Contradictory or unresolved",P38&lt;&gt;"Reviewed"),"Review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7" t="str">
        <x:f>IF(A39="","",IF(OR(B39="",C39="",D39="",E39="",F39="",G39="",H39="",I39="",J39="",K39="",L39="",M39="",N39="",O39="",P39=""),"Incomplete",IF(H39="Evidence required","Evidence required",IF(OR(L39="Hypothesis",L39="Observed association",L39="Contradictory or unresolved",P39&lt;&gt;"Reviewed"),"Review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7" t="str">
        <x:f>IF(A40="","",IF(OR(B40="",C40="",D40="",E40="",F40="",G40="",H40="",I40="",J40="",K40="",L40="",M40="",N40="",O40="",P40=""),"Incomplete",IF(H40="Evidence required","Evidence required",IF(OR(L40="Hypothesis",L40="Observed association",L40="Contradictory or unresolved",P40&lt;&gt;"Reviewed"),"Review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7" t="str">
        <x:f>IF(A41="","",IF(OR(B41="",C41="",D41="",E41="",F41="",G41="",H41="",I41="",J41="",K41="",L41="",M41="",N41="",O41="",P41=""),"Incomplete",IF(H41="Evidence required","Evidence required",IF(OR(L41="Hypothesis",L41="Observed association",L41="Contradictory or unresolved",P41&lt;&gt;"Reviewed"),"Review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7" t="str">
        <x:f>IF(A42="","",IF(OR(B42="",C42="",D42="",E42="",F42="",G42="",H42="",I42="",J42="",K42="",L42="",M42="",N42="",O42="",P42=""),"Incomplete",IF(H42="Evidence required","Evidence required",IF(OR(L42="Hypothesis",L42="Observed association",L42="Contradictory or unresolved",P42&lt;&gt;"Reviewed"),"Review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7" t="str">
        <x:f>IF(A43="","",IF(OR(B43="",C43="",D43="",E43="",F43="",G43="",H43="",I43="",J43="",K43="",L43="",M43="",N43="",O43="",P43=""),"Incomplete",IF(H43="Evidence required","Evidence required",IF(OR(L43="Hypothesis",L43="Observed association",L43="Contradictory or unresolved",P43&lt;&gt;"Reviewed"),"Review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7" t="str">
        <x:f>IF(A44="","",IF(OR(B44="",C44="",D44="",E44="",F44="",G44="",H44="",I44="",J44="",K44="",L44="",M44="",N44="",O44="",P44=""),"Incomplete",IF(H44="Evidence required","Evidence required",IF(OR(L44="Hypothesis",L44="Observed association",L44="Contradictory or unresolved",P44&lt;&gt;"Reviewed"),"Review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7" t="str">
        <x:f>IF(A45="","",IF(OR(B45="",C45="",D45="",E45="",F45="",G45="",H45="",I45="",J45="",K45="",L45="",M45="",N45="",O45="",P45=""),"Incomplete",IF(H45="Evidence required","Evidence required",IF(OR(L45="Hypothesis",L45="Observed association",L45="Contradictory or unresolved",P45&lt;&gt;"Reviewed"),"Review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7" t="str">
        <x:f>IF(A46="","",IF(OR(B46="",C46="",D46="",E46="",F46="",G46="",H46="",I46="",J46="",K46="",L46="",M46="",N46="",O46="",P46=""),"Incomplete",IF(H46="Evidence required","Evidence required",IF(OR(L46="Hypothesis",L46="Observed association",L46="Contradictory or unresolved",P46&lt;&gt;"Reviewed"),"Review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7" t="str">
        <x:f>IF(A47="","",IF(OR(B47="",C47="",D47="",E47="",F47="",G47="",H47="",I47="",J47="",K47="",L47="",M47="",N47="",O47="",P47=""),"Incomplete",IF(H47="Evidence required","Evidence required",IF(OR(L47="Hypothesis",L47="Observed association",L47="Contradictory or unresolved",P47&lt;&gt;"Reviewed"),"Review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7" t="str">
        <x:f>IF(A48="","",IF(OR(B48="",C48="",D48="",E48="",F48="",G48="",H48="",I48="",J48="",K48="",L48="",M48="",N48="",O48="",P48=""),"Incomplete",IF(H48="Evidence required","Evidence required",IF(OR(L48="Hypothesis",L48="Observed association",L48="Contradictory or unresolved",P48&lt;&gt;"Reviewed"),"Review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7" t="str">
        <x:f>IF(A49="","",IF(OR(B49="",C49="",D49="",E49="",F49="",G49="",H49="",I49="",J49="",K49="",L49="",M49="",N49="",O49="",P49=""),"Incomplete",IF(H49="Evidence required","Evidence required",IF(OR(L49="Hypothesis",L49="Observed association",L49="Contradictory or unresolved",P49&lt;&gt;"Reviewed"),"Review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7" t="str">
        <x:f>IF(A50="","",IF(OR(B50="",C50="",D50="",E50="",F50="",G50="",H50="",I50="",J50="",K50="",L50="",M50="",N50="",O50="",P50=""),"Incomplete",IF(H50="Evidence required","Evidence required",IF(OR(L50="Hypothesis",L50="Observed association",L50="Contradictory or unresolved",P50&lt;&gt;"Reviewed"),"Review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7" t="str">
        <x:f>IF(A51="","",IF(OR(B51="",C51="",D51="",E51="",F51="",G51="",H51="",I51="",J51="",K51="",L51="",M51="",N51="",O51="",P51=""),"Incomplete",IF(H51="Evidence required","Evidence required",IF(OR(L51="Hypothesis",L51="Observed association",L51="Contradictory or unresolved",P51&lt;&gt;"Reviewed"),"Review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7" t="str">
        <x:f>IF(A52="","",IF(OR(B52="",C52="",D52="",E52="",F52="",G52="",H52="",I52="",J52="",K52="",L52="",M52="",N52="",O52="",P52=""),"Incomplete",IF(H52="Evidence required","Evidence required",IF(OR(L52="Hypothesis",L52="Observed association",L52="Contradictory or unresolved",P52&lt;&gt;"Reviewed"),"Review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7" t="str">
        <x:f>IF(A53="","",IF(OR(B53="",C53="",D53="",E53="",F53="",G53="",H53="",I53="",J53="",K53="",L53="",M53="",N53="",O53="",P53=""),"Incomplete",IF(H53="Evidence required","Evidence required",IF(OR(L53="Hypothesis",L53="Observed association",L53="Contradictory or unresolved",P53&lt;&gt;"Reviewed"),"Review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7" t="str">
        <x:f>IF(A54="","",IF(OR(B54="",C54="",D54="",E54="",F54="",G54="",H54="",I54="",J54="",K54="",L54="",M54="",N54="",O54="",P54=""),"Incomplete",IF(H54="Evidence required","Evidence required",IF(OR(L54="Hypothesis",L54="Observed association",L54="Contradictory or unresolved",P54&lt;&gt;"Reviewed"),"Review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7" t="str">
        <x:f>IF(A55="","",IF(OR(B55="",C55="",D55="",E55="",F55="",G55="",H55="",I55="",J55="",K55="",L55="",M55="",N55="",O55="",P55=""),"Incomplete",IF(H55="Evidence required","Evidence required",IF(OR(L55="Hypothesis",L55="Observed association",L55="Contradictory or unresolved",P55&lt;&gt;"Reviewed"),"Review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7" t="str">
        <x:f>IF(A56="","",IF(OR(B56="",C56="",D56="",E56="",F56="",G56="",H56="",I56="",J56="",K56="",L56="",M56="",N56="",O56="",P56=""),"Incomplete",IF(H56="Evidence required","Evidence required",IF(OR(L56="Hypothesis",L56="Observed association",L56="Contradictory or unresolved",P56&lt;&gt;"Reviewed"),"Review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7" t="str">
        <x:f>IF(A57="","",IF(OR(B57="",C57="",D57="",E57="",F57="",G57="",H57="",I57="",J57="",K57="",L57="",M57="",N57="",O57="",P57=""),"Incomplete",IF(H57="Evidence required","Evidence required",IF(OR(L57="Hypothesis",L57="Observed association",L57="Contradictory or unresolved",P57&lt;&gt;"Reviewed"),"Review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7" t="str">
        <x:f>IF(A58="","",IF(OR(B58="",C58="",D58="",E58="",F58="",G58="",H58="",I58="",J58="",K58="",L58="",M58="",N58="",O58="",P58=""),"Incomplete",IF(H58="Evidence required","Evidence required",IF(OR(L58="Hypothesis",L58="Observed association",L58="Contradictory or unresolved",P58&lt;&gt;"Reviewed"),"Review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7" t="str">
        <x:f>IF(A59="","",IF(OR(B59="",C59="",D59="",E59="",F59="",G59="",H59="",I59="",J59="",K59="",L59="",M59="",N59="",O59="",P59=""),"Incomplete",IF(H59="Evidence required","Evidence required",IF(OR(L59="Hypothesis",L59="Observed association",L59="Contradictory or unresolved",P59&lt;&gt;"Reviewed"),"Review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7" t="str">
        <x:f>IF(A60="","",IF(OR(B60="",C60="",D60="",E60="",F60="",G60="",H60="",I60="",J60="",K60="",L60="",M60="",N60="",O60="",P60=""),"Incomplete",IF(H60="Evidence required","Evidence required",IF(OR(L60="Hypothesis",L60="Observed association",L60="Contradictory or unresolved",P60&lt;&gt;"Reviewed"),"Review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7" t="str">
        <x:f>IF(A61="","",IF(OR(B61="",C61="",D61="",E61="",F61="",G61="",H61="",I61="",J61="",K61="",L61="",M61="",N61="",O61="",P61=""),"Incomplete",IF(H61="Evidence required","Evidence required",IF(OR(L61="Hypothesis",L61="Observed association",L61="Contradictory or unresolved",P61&lt;&gt;"Reviewed"),"Review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7" t="str">
        <x:f>IF(A62="","",IF(OR(B62="",C62="",D62="",E62="",F62="",G62="",H62="",I62="",J62="",K62="",L62="",M62="",N62="",O62="",P62=""),"Incomplete",IF(H62="Evidence required","Evidence required",IF(OR(L62="Hypothesis",L62="Observed association",L62="Contradictory or unresolved",P62&lt;&gt;"Reviewed"),"Review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7" t="str">
        <x:f>IF(A63="","",IF(OR(B63="",C63="",D63="",E63="",F63="",G63="",H63="",I63="",J63="",K63="",L63="",M63="",N63="",O63="",P63=""),"Incomplete",IF(H63="Evidence required","Evidence required",IF(OR(L63="Hypothesis",L63="Observed association",L63="Contradictory or unresolved",P63&lt;&gt;"Reviewed"),"Review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7" t="str">
        <x:f>IF(A64="","",IF(OR(B64="",C64="",D64="",E64="",F64="",G64="",H64="",I64="",J64="",K64="",L64="",M64="",N64="",O64="",P64=""),"Incomplete",IF(H64="Evidence required","Evidence required",IF(OR(L64="Hypothesis",L64="Observed association",L64="Contradictory or unresolved",P64&lt;&gt;"Reviewed"),"Review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7" t="str">
        <x:f>IF(A65="","",IF(OR(B65="",C65="",D65="",E65="",F65="",G65="",H65="",I65="",J65="",K65="",L65="",M65="",N65="",O65="",P65=""),"Incomplete",IF(H65="Evidence required","Evidence required",IF(OR(L65="Hypothesis",L65="Observed association",L65="Contradictory or unresolved",P65&lt;&gt;"Reviewed"),"Review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7" t="str">
        <x:f>IF(A66="","",IF(OR(B66="",C66="",D66="",E66="",F66="",G66="",H66="",I66="",J66="",K66="",L66="",M66="",N66="",O66="",P66=""),"Incomplete",IF(H66="Evidence required","Evidence required",IF(OR(L66="Hypothesis",L66="Observed association",L66="Contradictory or unresolved",P66&lt;&gt;"Reviewed"),"Review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7" t="str">
        <x:f>IF(A67="","",IF(OR(B67="",C67="",D67="",E67="",F67="",G67="",H67="",I67="",J67="",K67="",L67="",M67="",N67="",O67="",P67=""),"Incomplete",IF(H67="Evidence required","Evidence required",IF(OR(L67="Hypothesis",L67="Observed association",L67="Contradictory or unresolved",P67&lt;&gt;"Reviewed"),"Review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7" t="str">
        <x:f>IF(A68="","",IF(OR(B68="",C68="",D68="",E68="",F68="",G68="",H68="",I68="",J68="",K68="",L68="",M68="",N68="",O68="",P68=""),"Incomplete",IF(H68="Evidence required","Evidence required",IF(OR(L68="Hypothesis",L68="Observed association",L68="Contradictory or unresolved",P68&lt;&gt;"Reviewed"),"Review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7" t="str">
        <x:f>IF(A69="","",IF(OR(B69="",C69="",D69="",E69="",F69="",G69="",H69="",I69="",J69="",K69="",L69="",M69="",N69="",O69="",P69=""),"Incomplete",IF(H69="Evidence required","Evidence required",IF(OR(L69="Hypothesis",L69="Observed association",L69="Contradictory or unresolved",P69&lt;&gt;"Reviewed"),"Review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7" t="str">
        <x:f>IF(A70="","",IF(OR(B70="",C70="",D70="",E70="",F70="",G70="",H70="",I70="",J70="",K70="",L70="",M70="",N70="",O70="",P70=""),"Incomplete",IF(H70="Evidence required","Evidence required",IF(OR(L70="Hypothesis",L70="Observed association",L70="Contradictory or unresolved",P70&lt;&gt;"Reviewed"),"Review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7" t="str">
        <x:f>IF(A71="","",IF(OR(B71="",C71="",D71="",E71="",F71="",G71="",H71="",I71="",J71="",K71="",L71="",M71="",N71="",O71="",P71=""),"Incomplete",IF(H71="Evidence required","Evidence required",IF(OR(L71="Hypothesis",L71="Observed association",L71="Contradictory or unresolved",P71&lt;&gt;"Reviewed"),"Review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7" t="str">
        <x:f>IF(A72="","",IF(OR(B72="",C72="",D72="",E72="",F72="",G72="",H72="",I72="",J72="",K72="",L72="",M72="",N72="",O72="",P72=""),"Incomplete",IF(H72="Evidence required","Evidence required",IF(OR(L72="Hypothesis",L72="Observed association",L72="Contradictory or unresolved",P72&lt;&gt;"Reviewed"),"Review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7" t="str">
        <x:f>IF(A73="","",IF(OR(B73="",C73="",D73="",E73="",F73="",G73="",H73="",I73="",J73="",K73="",L73="",M73="",N73="",O73="",P73=""),"Incomplete",IF(H73="Evidence required","Evidence required",IF(OR(L73="Hypothesis",L73="Observed association",L73="Contradictory or unresolved",P73&lt;&gt;"Reviewed"),"Review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7" t="str">
        <x:f>IF(A74="","",IF(OR(B74="",C74="",D74="",E74="",F74="",G74="",H74="",I74="",J74="",K74="",L74="",M74="",N74="",O74="",P74=""),"Incomplete",IF(H74="Evidence required","Evidence required",IF(OR(L74="Hypothesis",L74="Observed association",L74="Contradictory or unresolved",P74&lt;&gt;"Reviewed"),"Review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7" t="str">
        <x:f>IF(A75="","",IF(OR(B75="",C75="",D75="",E75="",F75="",G75="",H75="",I75="",J75="",K75="",L75="",M75="",N75="",O75="",P75=""),"Incomplete",IF(H75="Evidence required","Evidence required",IF(OR(L75="Hypothesis",L75="Observed association",L75="Contradictory or unresolved",P75&lt;&gt;"Reviewed"),"Review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7" t="str">
        <x:f>IF(A76="","",IF(OR(B76="",C76="",D76="",E76="",F76="",G76="",H76="",I76="",J76="",K76="",L76="",M76="",N76="",O76="",P76=""),"Incomplete",IF(H76="Evidence required","Evidence required",IF(OR(L76="Hypothesis",L76="Observed association",L76="Contradictory or unresolved",P76&lt;&gt;"Reviewed"),"Review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7" t="str">
        <x:f>IF(A77="","",IF(OR(B77="",C77="",D77="",E77="",F77="",G77="",H77="",I77="",J77="",K77="",L77="",M77="",N77="",O77="",P77=""),"Incomplete",IF(H77="Evidence required","Evidence required",IF(OR(L77="Hypothesis",L77="Observed association",L77="Contradictory or unresolved",P77&lt;&gt;"Reviewed"),"Review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7" t="str">
        <x:f>IF(A78="","",IF(OR(B78="",C78="",D78="",E78="",F78="",G78="",H78="",I78="",J78="",K78="",L78="",M78="",N78="",O78="",P78=""),"Incomplete",IF(H78="Evidence required","Evidence required",IF(OR(L78="Hypothesis",L78="Observed association",L78="Contradictory or unresolved",P78&lt;&gt;"Reviewed"),"Review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7" t="str">
        <x:f>IF(A79="","",IF(OR(B79="",C79="",D79="",E79="",F79="",G79="",H79="",I79="",J79="",K79="",L79="",M79="",N79="",O79="",P79=""),"Incomplete",IF(H79="Evidence required","Evidence required",IF(OR(L79="Hypothesis",L79="Observed association",L79="Contradictory or unresolved",P79&lt;&gt;"Reviewed"),"Review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7" t="str">
        <x:f>IF(A80="","",IF(OR(B80="",C80="",D80="",E80="",F80="",G80="",H80="",I80="",J80="",K80="",L80="",M80="",N80="",O80="",P80=""),"Incomplete",IF(H80="Evidence required","Evidence required",IF(OR(L80="Hypothesis",L80="Observed association",L80="Contradictory or unresolved",P80&lt;&gt;"Reviewed"),"Review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7" t="str">
        <x:f>IF(A81="","",IF(OR(B81="",C81="",D81="",E81="",F81="",G81="",H81="",I81="",J81="",K81="",L81="",M81="",N81="",O81="",P81=""),"Incomplete",IF(H81="Evidence required","Evidence required",IF(OR(L81="Hypothesis",L81="Observed association",L81="Contradictory or unresolved",P81&lt;&gt;"Reviewed"),"Review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7" t="str">
        <x:f>IF(A82="","",IF(OR(B82="",C82="",D82="",E82="",F82="",G82="",H82="",I82="",J82="",K82="",L82="",M82="",N82="",O82="",P82=""),"Incomplete",IF(H82="Evidence required","Evidence required",IF(OR(L82="Hypothesis",L82="Observed association",L82="Contradictory or unresolved",P82&lt;&gt;"Reviewed"),"Review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7" t="str">
        <x:f>IF(A83="","",IF(OR(B83="",C83="",D83="",E83="",F83="",G83="",H83="",I83="",J83="",K83="",L83="",M83="",N83="",O83="",P83=""),"Incomplete",IF(H83="Evidence required","Evidence required",IF(OR(L83="Hypothesis",L83="Observed association",L83="Contradictory or unresolved",P83&lt;&gt;"Reviewed"),"Review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7" t="str">
        <x:f>IF(A84="","",IF(OR(B84="",C84="",D84="",E84="",F84="",G84="",H84="",I84="",J84="",K84="",L84="",M84="",N84="",O84="",P84=""),"Incomplete",IF(H84="Evidence required","Evidence required",IF(OR(L84="Hypothesis",L84="Observed association",L84="Contradictory or unresolved",P84&lt;&gt;"Reviewed"),"Review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7" t="str">
        <x:f>IF(A85="","",IF(OR(B85="",C85="",D85="",E85="",F85="",G85="",H85="",I85="",J85="",K85="",L85="",M85="",N85="",O85="",P85=""),"Incomplete",IF(H85="Evidence required","Evidence required",IF(OR(L85="Hypothesis",L85="Observed association",L85="Contradictory or unresolved",P85&lt;&gt;"Reviewed"),"Review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7" t="str">
        <x:f>IF(A86="","",IF(OR(B86="",C86="",D86="",E86="",F86="",G86="",H86="",I86="",J86="",K86="",L86="",M86="",N86="",O86="",P86=""),"Incomplete",IF(H86="Evidence required","Evidence required",IF(OR(L86="Hypothesis",L86="Observed association",L86="Contradictory or unresolved",P86&lt;&gt;"Reviewed"),"Review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7" t="str">
        <x:f>IF(A87="","",IF(OR(B87="",C87="",D87="",E87="",F87="",G87="",H87="",I87="",J87="",K87="",L87="",M87="",N87="",O87="",P87=""),"Incomplete",IF(H87="Evidence required","Evidence required",IF(OR(L87="Hypothesis",L87="Observed association",L87="Contradictory or unresolved",P87&lt;&gt;"Reviewed"),"Review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7" t="str">
        <x:f>IF(A88="","",IF(OR(B88="",C88="",D88="",E88="",F88="",G88="",H88="",I88="",J88="",K88="",L88="",M88="",N88="",O88="",P88=""),"Incomplete",IF(H88="Evidence required","Evidence required",IF(OR(L88="Hypothesis",L88="Observed association",L88="Contradictory or unresolved",P88&lt;&gt;"Reviewed"),"Review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7" t="str">
        <x:f>IF(A89="","",IF(OR(B89="",C89="",D89="",E89="",F89="",G89="",H89="",I89="",J89="",K89="",L89="",M89="",N89="",O89="",P89=""),"Incomplete",IF(H89="Evidence required","Evidence required",IF(OR(L89="Hypothesis",L89="Observed association",L89="Contradictory or unresolved",P89&lt;&gt;"Reviewed"),"Review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7" t="str">
        <x:f>IF(A90="","",IF(OR(B90="",C90="",D90="",E90="",F90="",G90="",H90="",I90="",J90="",K90="",L90="",M90="",N90="",O90="",P90=""),"Incomplete",IF(H90="Evidence required","Evidence required",IF(OR(L90="Hypothesis",L90="Observed association",L90="Contradictory or unresolved",P90&lt;&gt;"Reviewed"),"Review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7" t="str">
        <x:f>IF(A91="","",IF(OR(B91="",C91="",D91="",E91="",F91="",G91="",H91="",I91="",J91="",K91="",L91="",M91="",N91="",O91="",P91=""),"Incomplete",IF(H91="Evidence required","Evidence required",IF(OR(L91="Hypothesis",L91="Observed association",L91="Contradictory or unresolved",P91&lt;&gt;"Reviewed"),"Review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7" t="str">
        <x:f>IF(A92="","",IF(OR(B92="",C92="",D92="",E92="",F92="",G92="",H92="",I92="",J92="",K92="",L92="",M92="",N92="",O92="",P92=""),"Incomplete",IF(H92="Evidence required","Evidence required",IF(OR(L92="Hypothesis",L92="Observed association",L92="Contradictory or unresolved",P92&lt;&gt;"Reviewed"),"Review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7" t="str">
        <x:f>IF(A93="","",IF(OR(B93="",C93="",D93="",E93="",F93="",G93="",H93="",I93="",J93="",K93="",L93="",M93="",N93="",O93="",P93=""),"Incomplete",IF(H93="Evidence required","Evidence required",IF(OR(L93="Hypothesis",L93="Observed association",L93="Contradictory or unresolved",P93&lt;&gt;"Reviewed"),"Review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7" t="str">
        <x:f>IF(A94="","",IF(OR(B94="",C94="",D94="",E94="",F94="",G94="",H94="",I94="",J94="",K94="",L94="",M94="",N94="",O94="",P94=""),"Incomplete",IF(H94="Evidence required","Evidence required",IF(OR(L94="Hypothesis",L94="Observed association",L94="Contradictory or unresolved",P94&lt;&gt;"Reviewed"),"Review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7" t="str">
        <x:f>IF(A95="","",IF(OR(B95="",C95="",D95="",E95="",F95="",G95="",H95="",I95="",J95="",K95="",L95="",M95="",N95="",O95="",P95=""),"Incomplete",IF(H95="Evidence required","Evidence required",IF(OR(L95="Hypothesis",L95="Observed association",L95="Contradictory or unresolved",P95&lt;&gt;"Reviewed"),"Review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7" t="str">
        <x:f>IF(A96="","",IF(OR(B96="",C96="",D96="",E96="",F96="",G96="",H96="",I96="",J96="",K96="",L96="",M96="",N96="",O96="",P96=""),"Incomplete",IF(H96="Evidence required","Evidence required",IF(OR(L96="Hypothesis",L96="Observed association",L96="Contradictory or unresolved",P96&lt;&gt;"Reviewed"),"Review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7" t="str">
        <x:f>IF(A97="","",IF(OR(B97="",C97="",D97="",E97="",F97="",G97="",H97="",I97="",J97="",K97="",L97="",M97="",N97="",O97="",P97=""),"Incomplete",IF(H97="Evidence required","Evidence required",IF(OR(L97="Hypothesis",L97="Observed association",L97="Contradictory or unresolved",P97&lt;&gt;"Reviewed"),"Review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7" t="str">
        <x:f>IF(A98="","",IF(OR(B98="",C98="",D98="",E98="",F98="",G98="",H98="",I98="",J98="",K98="",L98="",M98="",N98="",O98="",P98=""),"Incomplete",IF(H98="Evidence required","Evidence required",IF(OR(L98="Hypothesis",L98="Observed association",L98="Contradictory or unresolved",P98&lt;&gt;"Reviewed"),"Review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7" t="str">
        <x:f>IF(A99="","",IF(OR(B99="",C99="",D99="",E99="",F99="",G99="",H99="",I99="",J99="",K99="",L99="",M99="",N99="",O99="",P99=""),"Incomplete",IF(H99="Evidence required","Evidence required",IF(OR(L99="Hypothesis",L99="Observed association",L99="Contradictory or unresolved",P99&lt;&gt;"Reviewed"),"Review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7" t="str">
        <x:f>IF(A100="","",IF(OR(B100="",C100="",D100="",E100="",F100="",G100="",H100="",I100="",J100="",K100="",L100="",M100="",N100="",O100="",P100=""),"Incomplete",IF(H100="Evidence required","Evidence required",IF(OR(L100="Hypothesis",L100="Observed association",L100="Contradictory or unresolved",P100&lt;&gt;"Reviewed"),"Review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7" t="str">
        <x:f>IF(A101="","",IF(OR(B101="",C101="",D101="",E101="",F101="",G101="",H101="",I101="",J101="",K101="",L101="",M101="",N101="",O101="",P101=""),"Incomplete",IF(H101="Evidence required","Evidence required",IF(OR(L101="Hypothesis",L101="Observed association",L101="Contradictory or unresolved",P101&lt;&gt;"Reviewed"),"Review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7" t="str">
        <x:f>IF(A102="","",IF(OR(B102="",C102="",D102="",E102="",F102="",G102="",H102="",I102="",J102="",K102="",L102="",M102="",N102="",O102="",P102=""),"Incomplete",IF(H102="Evidence required","Evidence required",IF(OR(L102="Hypothesis",L102="Observed association",L102="Contradictory or unresolved",P102&lt;&gt;"Reviewed"),"Review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7" t="str">
        <x:f>IF(A103="","",IF(OR(B103="",C103="",D103="",E103="",F103="",G103="",H103="",I103="",J103="",K103="",L103="",M103="",N103="",O103="",P103=""),"Incomplete",IF(H103="Evidence required","Evidence required",IF(OR(L103="Hypothesis",L103="Observed association",L103="Contradictory or unresolved",P103&lt;&gt;"Reviewed"),"Review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7" t="str">
        <x:f>IF(A104="","",IF(OR(B104="",C104="",D104="",E104="",F104="",G104="",H104="",I104="",J104="",K104="",L104="",M104="",N104="",O104="",P104=""),"Incomplete",IF(H104="Evidence required","Evidence required",IF(OR(L104="Hypothesis",L104="Observed association",L104="Contradictory or unresolved",P104&lt;&gt;"Reviewed"),"Review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8" t="str">
        <x:f>IF(A105="","",IF(OR(B105="",C105="",D105="",E105="",F105="",G105="",H105="",I105="",J105="",K105="",L105="",M105="",N105="",O105="",P105=""),"Incomplete",IF(H105="Evidence required","Evidence required",IF(OR(L105="Hypothesis",L105="Observed association",L105="Contradictory or unresolved",P105&lt;&gt;"Reviewed"),"Review required","Ready for qualified review"))))</x:f>
      </x:c>
    </x:row>
  </x:sheetData>
  <x:mergeCells>
    <x:mergeCell ref="A1:Q1"/>
    <x:mergeCell ref="A2:Q2"/>
  </x:mergeCells>
  <x:conditionalFormatting sqref="Q6:Q1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3">
    <x:dataValidation type="list" sqref="C6:C105">
      <x:formula1>"Compounding / mixing,Filtration,Hold / transfer,Filling,Closing / capping,Inspection / packaging,Shipping / distribution,Preparation / use,Other"</x:formula1>
    </x:dataValidation>
    <x:dataValidation type="list" sqref="L6:L105">
      <x:formula1>"Hypothesis,Observed association,Designed-study support,Multi-source support,Contradictory or unresolved"</x:formula1>
    </x:dataValidation>
    <x:dataValidation type="list" sqref="P6:P105">
      <x:formula1>"Not started,Draft,In review,Reviewed"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30" hidden="0" customWidth="1"/>
    <x:col min="4" max="4" width="34" hidden="0" customWidth="1"/>
    <x:col min="5" max="5" width="38" hidden="0" customWidth="1"/>
    <x:col min="6" max="6" width="32" hidden="0" customWidth="1"/>
    <x:col min="7" max="7" width="28" hidden="0" customWidth="1"/>
    <x:col min="8" max="8" width="30" hidden="0" customWidth="1"/>
    <x:col min="9" max="9" width="24" hidden="0" customWidth="1"/>
    <x:col min="10" max="10" width="38" hidden="0" customWidth="1"/>
    <x:col min="11" max="11" width="26" hidden="0" customWidth="1"/>
    <x:col min="12" max="12" width="34" hidden="0" customWidth="1"/>
    <x:col min="13" max="13" width="18" hidden="0" customWidth="1"/>
    <x:col min="14" max="14" width="23" hidden="0" customWidth="1"/>
    <x:col min="15" max="15" width="30" hidden="0" customWidth="1"/>
    <x:col min="16" max="16" width="30" hidden="0" customWidth="1"/>
    <x:col min="17" max="17" width="17" hidden="0" customWidth="1"/>
    <x:col min="18" max="18" width="22" hidden="0" customWidth="1"/>
  </x:cols>
  <x:sheetData>
    <x:row r="1" ht="28" customHeight="1">
      <x:c r="A1" s="3" t="str">
        <x:v>Stability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One row per controlled study purpose and material/presentation scope; no default condition, schedule, criterion, or shelf life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47" t="str">
        <x:v>Study ID</x:v>
      </x:c>
      <x:c r="B5" s="48" t="str">
        <x:v>Study type</x:v>
      </x:c>
      <x:c r="C5" s="48" t="str">
        <x:v>Material / batch scope</x:v>
      </x:c>
      <x:c r="D5" s="48" t="str">
        <x:v>Formulation / presentation</x:v>
      </x:c>
      <x:c r="E5" s="48" t="str">
        <x:v>Purpose / decision</x:v>
      </x:c>
      <x:c r="F5" s="48" t="str">
        <x:v>Condition reference</x:v>
      </x:c>
      <x:c r="G5" s="48" t="str">
        <x:v>Orientation / handling</x:v>
      </x:c>
      <x:c r="H5" s="48" t="str">
        <x:v>Schedule reference</x:v>
      </x:c>
      <x:c r="I5" s="48" t="str">
        <x:v>Test / attribute IDs</x:v>
      </x:c>
      <x:c r="J5" s="48" t="str">
        <x:v>Stability-indicating basis</x:v>
      </x:c>
      <x:c r="K5" s="48" t="str">
        <x:v>Inventory / sample reference</x:v>
      </x:c>
      <x:c r="L5" s="48" t="str">
        <x:v>Protocol / acceptance reference</x:v>
      </x:c>
      <x:c r="M5" s="48" t="str">
        <x:v>Evidence IDs</x:v>
      </x:c>
      <x:c r="N5" s="48" t="str">
        <x:v>Evidence strength</x:v>
      </x:c>
      <x:c r="O5" s="48" t="str">
        <x:v>Commitment / change link</x:v>
      </x:c>
      <x:c r="P5" s="48" t="str">
        <x:v>Reviewer roles</x:v>
      </x:c>
      <x:c r="Q5" s="48" t="str">
        <x:v>Review status</x:v>
      </x:c>
      <x:c r="R5" s="49" t="str">
        <x:v>Attention</x:v>
      </x:c>
    </x:row>
    <x:row r="6">
      <x:c r="A6" s="60" t="str">
        <x:v>STAB-001</x:v>
      </x:c>
      <x:c r="B6" s="60" t="str">
        <x:v>Long-term</x:v>
      </x:c>
      <x:c r="C6" s="60" t="str">
        <x:v>Representative current-process batches; controlled references</x:v>
      </x:c>
      <x:c r="D6" s="60" t="str">
        <x:v>F-09 / current P-03</x:v>
      </x:c>
      <x:c r="E6" s="60" t="str">
        <x:v>Support the current approved product stability claim within controlled scope.</x:v>
      </x:c>
      <x:c r="F6" s="60" t="str">
        <x:v>Approved long-term condition reference</x:v>
      </x:c>
      <x:c r="G6" s="60" t="str">
        <x:v>Controlled presentation orientation and handling reference</x:v>
      </x:c>
      <x:c r="H6" s="60" t="str">
        <x:v>Approved pull and test schedule reference</x:v>
      </x:c>
      <x:c r="I6" s="60" t="str">
        <x:v>QPA-001; QPA-002; QPA-003; QPA-004; QPA-006; QPA-007</x:v>
      </x:c>
      <x:c r="J6" s="60" t="str">
        <x:v>Orthogonal purity, activity, particle, chemical, integrity, and performance coverage under controlled methods</x:v>
      </x:c>
      <x:c r="K6" s="60" t="str">
        <x:v>Approved sample inventory and reserve reference</x:v>
      </x:c>
      <x:c r="L6" s="60" t="str">
        <x:v>Approved stability protocol and criteria reference</x:v>
      </x:c>
      <x:c r="M6" s="60" t="str">
        <x:v>EVD-001; EVD-004; EVD-005</x:v>
      </x:c>
      <x:c r="N6" s="60" t="str">
        <x:v>Multi-source support</x:v>
      </x:c>
      <x:c r="O6" s="60" t="str">
        <x:v>Current program; proposed change impact remains separate</x:v>
      </x:c>
      <x:c r="P6" s="60" t="str">
        <x:v>Stability / Analytical / Quality / Regulatory CMC</x:v>
      </x:c>
      <x:c r="Q6" s="60" t="str">
        <x:v>Reviewed</x:v>
      </x:c>
      <x:c r="R6" s="66" t="str">
        <x:f>IF(A6="","",IF(OR(B6="",C6="",D6="",E6="",F6="",G6="",H6="",I6="",J6="",K6="",L6="",M6="",N6="",O6="",P6="",Q6=""),"Incomplete",IF(OR(F6="Evidence required",H6="Evidence required",L6="Evidence required"),"Evidence required",IF(OR(N6="Hypothesis",N6="Observed association",N6="Contradictory or unresolved",Q6&lt;&gt;"Reviewed"),"Review required","Ready for qualified review"))))</x:f>
        <x:v>Ready for qualified review</x:v>
      </x:c>
    </x:row>
    <x:row r="7">
      <x:c r="A7" s="61" t="str">
        <x:v>STAB-002</x:v>
      </x:c>
      <x:c r="B7" s="61" t="str">
        <x:v>Accelerated / supporting</x:v>
      </x:c>
      <x:c r="C7" s="61" t="str">
        <x:v>Representative development/current material; controlled references</x:v>
      </x:c>
      <x:c r="D7" s="61" t="str">
        <x:v>F-09 / current and proposed presentation question</x:v>
      </x:c>
      <x:c r="E7" s="61" t="str">
        <x:v>Characterize product change and support pathway/method understanding without directly assigning shelf life.</x:v>
      </x:c>
      <x:c r="F7" s="61" t="str">
        <x:v>Controlled supporting-condition reference</x:v>
      </x:c>
      <x:c r="G7" s="61" t="str">
        <x:v>Controlled presentation and handling reference</x:v>
      </x:c>
      <x:c r="H7" s="61" t="str">
        <x:v>Controlled schedule reference</x:v>
      </x:c>
      <x:c r="I7" s="61" t="str">
        <x:v>QPA-001; QPA-002; QPA-003; QPA-004; QPA-005</x:v>
      </x:c>
      <x:c r="J7" s="61" t="str">
        <x:v>Product-specific orthogonal method panel with interpretation limits</x:v>
      </x:c>
      <x:c r="K7" s="61" t="str">
        <x:v>Controlled sample inventory reference</x:v>
      </x:c>
      <x:c r="L7" s="61" t="str">
        <x:v>Controlled supporting-study protocol reference</x:v>
      </x:c>
      <x:c r="M7" s="61" t="str">
        <x:v>EVD-001; EVD-004; EVD-007</x:v>
      </x:c>
      <x:c r="N7" s="61" t="str">
        <x:v>Designed-study support</x:v>
      </x:c>
      <x:c r="O7" s="61" t="str">
        <x:v>Supports change assessment; does not replace relevant long-term evidence</x:v>
      </x:c>
      <x:c r="P7" s="61" t="str">
        <x:v>Formulation / Stability / Analytical</x:v>
      </x:c>
      <x:c r="Q7" s="61" t="str">
        <x:v>In review</x:v>
      </x:c>
      <x:c r="R7" s="67" t="str">
        <x:f>IF(A7="","",IF(OR(B7="",C7="",D7="",E7="",F7="",G7="",H7="",I7="",J7="",K7="",L7="",M7="",N7="",O7="",P7="",Q7=""),"Incomplete",IF(OR(F7="Evidence required",H7="Evidence required",L7="Evidence required"),"Evidence required",IF(OR(N7="Hypothesis",N7="Observed association",N7="Contradictory or unresolved",Q7&lt;&gt;"Reviewed"),"Review required","Ready for qualified review"))))</x:f>
        <x:v>Review required</x:v>
      </x:c>
    </x:row>
    <x:row r="8">
      <x:c r="A8" s="61" t="str">
        <x:v>STAB-003</x:v>
      </x:c>
      <x:c r="B8" s="61" t="str">
        <x:v>Photostability</x:v>
      </x:c>
      <x:c r="C8" s="61" t="str">
        <x:v>Representative product/presentation material; controlled reference</x:v>
      </x:c>
      <x:c r="D8" s="61" t="str">
        <x:v>F-09 / P-03 and relevant protection configuration</x:v>
      </x:c>
      <x:c r="E8" s="61" t="str">
        <x:v>Assess applicable light sensitivity and protection questions.</x:v>
      </x:c>
      <x:c r="F8" s="61" t="str">
        <x:v>Controlled photostability condition reference</x:v>
      </x:c>
      <x:c r="G8" s="61" t="str">
        <x:v>Defined exposed/protected presentation and orientation reference</x:v>
      </x:c>
      <x:c r="H8" s="61" t="str">
        <x:v>Controlled schedule reference</x:v>
      </x:c>
      <x:c r="I8" s="61" t="str">
        <x:v>QPA-001; QPA-003; QPA-004; QPA-005</x:v>
      </x:c>
      <x:c r="J8" s="61" t="str">
        <x:v>Methods selected to observe relevant product and presentation change</x:v>
      </x:c>
      <x:c r="K8" s="61" t="str">
        <x:v>Controlled sample inventory reference</x:v>
      </x:c>
      <x:c r="L8" s="61" t="str">
        <x:v>Controlled photostability protocol reference</x:v>
      </x:c>
      <x:c r="M8" s="61" t="str">
        <x:v>EVD-002; EVD-004; EVD-008</x:v>
      </x:c>
      <x:c r="N8" s="61" t="str">
        <x:v>Designed-study support</x:v>
      </x:c>
      <x:c r="O8" s="61" t="str">
        <x:v>Repeat/change impact depends on formulation and packaging assessment</x:v>
      </x:c>
      <x:c r="P8" s="61" t="str">
        <x:v>Stability / Analytical / Packaging</x:v>
      </x:c>
      <x:c r="Q8" s="61" t="str">
        <x:v>Reviewed</x:v>
      </x:c>
      <x:c r="R8" s="67" t="str">
        <x:f>IF(A8="","",IF(OR(B8="",C8="",D8="",E8="",F8="",G8="",H8="",I8="",J8="",K8="",L8="",M8="",N8="",O8="",P8="",Q8=""),"Incomplete",IF(OR(F8="Evidence required",H8="Evidence required",L8="Evidence required"),"Evidence required",IF(OR(N8="Hypothesis",N8="Observed association",N8="Contradictory or unresolved",Q8&lt;&gt;"Reviewed"),"Review required","Ready for qualified review"))))</x:f>
        <x:v>Ready for qualified review</x:v>
      </x:c>
    </x:row>
    <x:row r="9">
      <x:c r="A9" s="61" t="str">
        <x:v>STAB-004</x:v>
      </x:c>
      <x:c r="B9" s="61" t="str">
        <x:v>Transport / agitation</x:v>
      </x:c>
      <x:c r="C9" s="61" t="str">
        <x:v>Representative filled presentations; current and proposed scopes</x:v>
      </x:c>
      <x:c r="D9" s="61" t="str">
        <x:v>F-09 / current P-03 and proposed stopper S-02</x:v>
      </x:c>
      <x:c r="E9" s="61" t="str">
        <x:v>Assess particle, aggregate, integrity, and functional signals across representative handling.</x:v>
      </x:c>
      <x:c r="F9" s="61" t="str">
        <x:v>Controlled transport-simulation and lane reference</x:v>
      </x:c>
      <x:c r="G9" s="61" t="str">
        <x:v>Defined orientation, handling, and comparator reference</x:v>
      </x:c>
      <x:c r="H9" s="61" t="str">
        <x:v>Controlled sampling/test schedule reference</x:v>
      </x:c>
      <x:c r="I9" s="61" t="str">
        <x:v>QPA-001; QPA-002; QPA-005; QPA-006; QPA-007</x:v>
      </x:c>
      <x:c r="J9" s="61" t="str">
        <x:v>Orthogonal particle/aggregate, product, integrity, and presentation assessment; sample handling controlled</x:v>
      </x:c>
      <x:c r="K9" s="61" t="str">
        <x:v>Controlled sample inventory and comparator reference</x:v>
      </x:c>
      <x:c r="L9" s="61" t="str">
        <x:v>Controlled change-study protocol and criteria pending approval</x:v>
      </x:c>
      <x:c r="M9" s="61" t="str">
        <x:v>EVD-004; EVD-007; EVD-009</x:v>
      </x:c>
      <x:c r="N9" s="61" t="str">
        <x:v>Contradictory or unresolved</x:v>
      </x:c>
      <x:c r="O9" s="61" t="str">
        <x:v>Linked to stopper and line-hold change; causality and representativeness remain open</x:v>
      </x:c>
      <x:c r="P9" s="61" t="str">
        <x:v>Product quality / Stability / Container engineering</x:v>
      </x:c>
      <x:c r="Q9" s="61" t="str">
        <x:v>In review</x:v>
      </x:c>
      <x:c r="R9" s="67" t="str">
        <x:f>IF(A9="","",IF(OR(B9="",C9="",D9="",E9="",F9="",G9="",H9="",I9="",J9="",K9="",L9="",M9="",N9="",O9="",P9="",Q9=""),"Incomplete",IF(OR(F9="Evidence required",H9="Evidence required",L9="Evidence required"),"Evidence required",IF(OR(N9="Hypothesis",N9="Observed association",N9="Contradictory or unresolved",Q9&lt;&gt;"Reviewed"),"Review required","Ready for qualified review"))))</x:f>
        <x:v>Review required</x:v>
      </x:c>
    </x:row>
    <x:row r="10">
      <x:c r="A10" s="61" t="str">
        <x:v>STAB-005</x:v>
      </x:c>
      <x:c r="B10" s="61" t="str">
        <x:v>In-use / preparation</x:v>
      </x:c>
      <x:c r="C10" s="61" t="str">
        <x:v>Representative product and presentation; controlled references</x:v>
      </x:c>
      <x:c r="D10" s="61" t="str">
        <x:v>F-09 / P-03</x:v>
      </x:c>
      <x:c r="E10" s="61" t="str">
        <x:v>Support intended preparation and delivery context where applicable.</x:v>
      </x:c>
      <x:c r="F10" s="61" t="str">
        <x:v>Approved in-use condition reference</x:v>
      </x:c>
      <x:c r="G10" s="61" t="str">
        <x:v>Controlled preparation, handling, orientation, and delivery reference</x:v>
      </x:c>
      <x:c r="H10" s="61" t="str">
        <x:v>Approved schedule reference</x:v>
      </x:c>
      <x:c r="I10" s="61" t="str">
        <x:v>QPA-001; QPA-002; QPA-007</x:v>
      </x:c>
      <x:c r="J10" s="61" t="str">
        <x:v>Product, particle, potency/activity, quantity, and functional coverage as justified</x:v>
      </x:c>
      <x:c r="K10" s="61" t="str">
        <x:v>Approved sample inventory reference</x:v>
      </x:c>
      <x:c r="L10" s="61" t="str">
        <x:v>Approved in-use protocol and criteria reference</x:v>
      </x:c>
      <x:c r="M10" s="61" t="str">
        <x:v>EVD-001; EVD-004; EVD-008</x:v>
      </x:c>
      <x:c r="N10" s="61" t="str">
        <x:v>Designed-study support</x:v>
      </x:c>
      <x:c r="O10" s="61" t="str">
        <x:v>Proposed stopper functional impact requires review</x:v>
      </x:c>
      <x:c r="P10" s="61" t="str">
        <x:v>Product quality / Clinical interface / Stability</x:v>
      </x:c>
      <x:c r="Q10" s="61" t="str">
        <x:v>Reviewed</x:v>
      </x:c>
      <x:c r="R10" s="67" t="str">
        <x:f>IF(A10="","",IF(OR(B10="",C10="",D10="",E10="",F10="",G10="",H10="",I10="",J10="",K10="",L10="",M10="",N10="",O10="",P10="",Q10=""),"Incomplete",IF(OR(F10="Evidence required",H10="Evidence required",L10="Evidence required"),"Evidence required",IF(OR(N10="Hypothesis",N10="Observed association",N10="Contradictory or unresolved",Q10&lt;&gt;"Reviewed"),"Review required","Ready for qualified review"))))</x:f>
        <x:v>Ready for qualified review</x:v>
      </x:c>
    </x:row>
    <x:row r="11">
      <x:c r="A11" s="61" t="str">
        <x:v>STAB-006</x:v>
      </x:c>
      <x:c r="B11" s="61" t="str">
        <x:v>Comparability / change</x:v>
      </x:c>
      <x:c r="C11" s="61" t="str">
        <x:v>Representative pre-change and proposed-change material; plan under review</x:v>
      </x:c>
      <x:c r="D11" s="61" t="str">
        <x:v>F-09 / current P-03 versus proposed stopper S-02</x:v>
      </x:c>
      <x:c r="E11" s="61" t="str">
        <x:v>Support the bounded stopper and line-hold change decision with product, container, integrity, and stability evidence.</x:v>
      </x:c>
      <x:c r="F11" s="61" t="str">
        <x:v>Controlled change-specific condition matrix pending approval</x:v>
      </x:c>
      <x:c r="G11" s="61" t="str">
        <x:v>Controlled orientation, aging, handling, and process representation plan</x:v>
      </x:c>
      <x:c r="H11" s="61" t="str">
        <x:v>Controlled schedule and commitment reference pending approval</x:v>
      </x:c>
      <x:c r="I11" s="61" t="str">
        <x:v>QPA-001; QPA-002; QPA-003; QPA-004; QPA-005; QPA-006; QPA-007</x:v>
      </x:c>
      <x:c r="J11" s="61" t="str">
        <x:v>Orthogonal product, method, container, integrity, and functional evidence linked to change hypotheses</x:v>
      </x:c>
      <x:c r="K11" s="61" t="str">
        <x:v>Controlled sample inventory and reserve plan pending approval</x:v>
      </x:c>
      <x:c r="L11" s="61" t="str">
        <x:v>Controlled comparability/stability protocol and decision criteria pending approval</x:v>
      </x:c>
      <x:c r="M11" s="61" t="str">
        <x:v>EVD-004; EVD-005; EVD-006; EVD-007; EVD-008; EVD-009</x:v>
      </x:c>
      <x:c r="N11" s="61" t="str">
        <x:v>Contradictory or unresolved</x:v>
      </x:c>
      <x:c r="O11" s="61" t="str">
        <x:v>CHG-021; protocol, commitment, validation, and regulatory decisions open</x:v>
      </x:c>
      <x:c r="P11" s="61" t="str">
        <x:v>Formulation / Fill-finish / Stability / Container / Quality / Regulatory CMC</x:v>
      </x:c>
      <x:c r="Q11" s="61" t="str">
        <x:v>In review</x:v>
      </x:c>
      <x:c r="R11" s="67" t="str">
        <x:f>IF(A11="","",IF(OR(B11="",C11="",D11="",E11="",F11="",G11="",H11="",I11="",J11="",K11="",L11="",M11="",N11="",O11="",P11="",Q11=""),"Incomplete",IF(OR(F11="Evidence required",H11="Evidence required",L11="Evidence required"),"Evidence required",IF(OR(N11="Hypothesis",N11="Observed association",N11="Contradictory or unresolved",Q11&lt;&gt;"Reviewed"),"Review required","Ready for qualified review"))))</x:f>
        <x:v>Review required</x:v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  <x:c r="R12" s="67" t="str">
        <x:f>IF(A12="","",IF(OR(B12="",C12="",D12="",E12="",F12="",G12="",H12="",I12="",J12="",K12="",L12="",M12="",N12="",O12="",P12="",Q12=""),"Incomplete",IF(OR(F12="Evidence required",H12="Evidence required",L12="Evidence required"),"Evidence required",IF(OR(N12="Hypothesis",N12="Observed association",N12="Contradictory or unresolved",Q12&lt;&gt;"Reviewed"),"Review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7" t="str">
        <x:f>IF(A13="","",IF(OR(B13="",C13="",D13="",E13="",F13="",G13="",H13="",I13="",J13="",K13="",L13="",M13="",N13="",O13="",P13="",Q13=""),"Incomplete",IF(OR(F13="Evidence required",H13="Evidence required",L13="Evidence required"),"Evidence required",IF(OR(N13="Hypothesis",N13="Observed association",N13="Contradictory or unresolved",Q13&lt;&gt;"Reviewed"),"Review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  <x:c r="R14" s="67" t="str">
        <x:f>IF(A14="","",IF(OR(B14="",C14="",D14="",E14="",F14="",G14="",H14="",I14="",J14="",K14="",L14="",M14="",N14="",O14="",P14="",Q14=""),"Incomplete",IF(OR(F14="Evidence required",H14="Evidence required",L14="Evidence required"),"Evidence required",IF(OR(N14="Hypothesis",N14="Observed association",N14="Contradictory or unresolved",Q14&lt;&gt;"Reviewed"),"Review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7" t="str">
        <x:f>IF(A15="","",IF(OR(B15="",C15="",D15="",E15="",F15="",G15="",H15="",I15="",J15="",K15="",L15="",M15="",N15="",O15="",P15="",Q15=""),"Incomplete",IF(OR(F15="Evidence required",H15="Evidence required",L15="Evidence required"),"Evidence required",IF(OR(N15="Hypothesis",N15="Observed association",N15="Contradictory or unresolved",Q15&lt;&gt;"Reviewed"),"Review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  <x:c r="R16" s="67" t="str">
        <x:f>IF(A16="","",IF(OR(B16="",C16="",D16="",E16="",F16="",G16="",H16="",I16="",J16="",K16="",L16="",M16="",N16="",O16="",P16="",Q16=""),"Incomplete",IF(OR(F16="Evidence required",H16="Evidence required",L16="Evidence required"),"Evidence required",IF(OR(N16="Hypothesis",N16="Observed association",N16="Contradictory or unresolved",Q16&lt;&gt;"Reviewed"),"Review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7" t="str">
        <x:f>IF(A17="","",IF(OR(B17="",C17="",D17="",E17="",F17="",G17="",H17="",I17="",J17="",K17="",L17="",M17="",N17="",O17="",P17="",Q17=""),"Incomplete",IF(OR(F17="Evidence required",H17="Evidence required",L17="Evidence required"),"Evidence required",IF(OR(N17="Hypothesis",N17="Observed association",N17="Contradictory or unresolved",Q17&lt;&gt;"Reviewed"),"Review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7" t="str">
        <x:f>IF(A18="","",IF(OR(B18="",C18="",D18="",E18="",F18="",G18="",H18="",I18="",J18="",K18="",L18="",M18="",N18="",O18="",P18="",Q18=""),"Incomplete",IF(OR(F18="Evidence required",H18="Evidence required",L18="Evidence required"),"Evidence required",IF(OR(N18="Hypothesis",N18="Observed association",N18="Contradictory or unresolved",Q18&lt;&gt;"Reviewed"),"Review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7" t="str">
        <x:f>IF(A19="","",IF(OR(B19="",C19="",D19="",E19="",F19="",G19="",H19="",I19="",J19="",K19="",L19="",M19="",N19="",O19="",P19="",Q19=""),"Incomplete",IF(OR(F19="Evidence required",H19="Evidence required",L19="Evidence required"),"Evidence required",IF(OR(N19="Hypothesis",N19="Observed association",N19="Contradictory or unresolved",Q19&lt;&gt;"Reviewed"),"Review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7" t="str">
        <x:f>IF(A20="","",IF(OR(B20="",C20="",D20="",E20="",F20="",G20="",H20="",I20="",J20="",K20="",L20="",M20="",N20="",O20="",P20="",Q20=""),"Incomplete",IF(OR(F20="Evidence required",H20="Evidence required",L20="Evidence required"),"Evidence required",IF(OR(N20="Hypothesis",N20="Observed association",N20="Contradictory or unresolved",Q20&lt;&gt;"Reviewed"),"Review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7" t="str">
        <x:f>IF(A21="","",IF(OR(B21="",C21="",D21="",E21="",F21="",G21="",H21="",I21="",J21="",K21="",L21="",M21="",N21="",O21="",P21="",Q21=""),"Incomplete",IF(OR(F21="Evidence required",H21="Evidence required",L21="Evidence required"),"Evidence required",IF(OR(N21="Hypothesis",N21="Observed association",N21="Contradictory or unresolved",Q21&lt;&gt;"Reviewed"),"Review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7" t="str">
        <x:f>IF(A22="","",IF(OR(B22="",C22="",D22="",E22="",F22="",G22="",H22="",I22="",J22="",K22="",L22="",M22="",N22="",O22="",P22="",Q22=""),"Incomplete",IF(OR(F22="Evidence required",H22="Evidence required",L22="Evidence required"),"Evidence required",IF(OR(N22="Hypothesis",N22="Observed association",N22="Contradictory or unresolved",Q22&lt;&gt;"Reviewed"),"Review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7" t="str">
        <x:f>IF(A23="","",IF(OR(B23="",C23="",D23="",E23="",F23="",G23="",H23="",I23="",J23="",K23="",L23="",M23="",N23="",O23="",P23="",Q23=""),"Incomplete",IF(OR(F23="Evidence required",H23="Evidence required",L23="Evidence required"),"Evidence required",IF(OR(N23="Hypothesis",N23="Observed association",N23="Contradictory or unresolved",Q23&lt;&gt;"Reviewed"),"Review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7" t="str">
        <x:f>IF(A24="","",IF(OR(B24="",C24="",D24="",E24="",F24="",G24="",H24="",I24="",J24="",K24="",L24="",M24="",N24="",O24="",P24="",Q24=""),"Incomplete",IF(OR(F24="Evidence required",H24="Evidence required",L24="Evidence required"),"Evidence required",IF(OR(N24="Hypothesis",N24="Observed association",N24="Contradictory or unresolved",Q24&lt;&gt;"Reviewed"),"Review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7" t="str">
        <x:f>IF(A25="","",IF(OR(B25="",C25="",D25="",E25="",F25="",G25="",H25="",I25="",J25="",K25="",L25="",M25="",N25="",O25="",P25="",Q25=""),"Incomplete",IF(OR(F25="Evidence required",H25="Evidence required",L25="Evidence required"),"Evidence required",IF(OR(N25="Hypothesis",N25="Observed association",N25="Contradictory or unresolved",Q25&lt;&gt;"Reviewed"),"Review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7" t="str">
        <x:f>IF(A26="","",IF(OR(B26="",C26="",D26="",E26="",F26="",G26="",H26="",I26="",J26="",K26="",L26="",M26="",N26="",O26="",P26="",Q26=""),"Incomplete",IF(OR(F26="Evidence required",H26="Evidence required",L26="Evidence required"),"Evidence required",IF(OR(N26="Hypothesis",N26="Observed association",N26="Contradictory or unresolved",Q26&lt;&gt;"Reviewed"),"Review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7" t="str">
        <x:f>IF(A27="","",IF(OR(B27="",C27="",D27="",E27="",F27="",G27="",H27="",I27="",J27="",K27="",L27="",M27="",N27="",O27="",P27="",Q27=""),"Incomplete",IF(OR(F27="Evidence required",H27="Evidence required",L27="Evidence required"),"Evidence required",IF(OR(N27="Hypothesis",N27="Observed association",N27="Contradictory or unresolved",Q27&lt;&gt;"Reviewed"),"Review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7" t="str">
        <x:f>IF(A28="","",IF(OR(B28="",C28="",D28="",E28="",F28="",G28="",H28="",I28="",J28="",K28="",L28="",M28="",N28="",O28="",P28="",Q28=""),"Incomplete",IF(OR(F28="Evidence required",H28="Evidence required",L28="Evidence required"),"Evidence required",IF(OR(N28="Hypothesis",N28="Observed association",N28="Contradictory or unresolved",Q28&lt;&gt;"Reviewed"),"Review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7" t="str">
        <x:f>IF(A29="","",IF(OR(B29="",C29="",D29="",E29="",F29="",G29="",H29="",I29="",J29="",K29="",L29="",M29="",N29="",O29="",P29="",Q29=""),"Incomplete",IF(OR(F29="Evidence required",H29="Evidence required",L29="Evidence required"),"Evidence required",IF(OR(N29="Hypothesis",N29="Observed association",N29="Contradictory or unresolved",Q29&lt;&gt;"Reviewed"),"Review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7" t="str">
        <x:f>IF(A30="","",IF(OR(B30="",C30="",D30="",E30="",F30="",G30="",H30="",I30="",J30="",K30="",L30="",M30="",N30="",O30="",P30="",Q30=""),"Incomplete",IF(OR(F30="Evidence required",H30="Evidence required",L30="Evidence required"),"Evidence required",IF(OR(N30="Hypothesis",N30="Observed association",N30="Contradictory or unresolved",Q30&lt;&gt;"Reviewed"),"Review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7" t="str">
        <x:f>IF(A31="","",IF(OR(B31="",C31="",D31="",E31="",F31="",G31="",H31="",I31="",J31="",K31="",L31="",M31="",N31="",O31="",P31="",Q31=""),"Incomplete",IF(OR(F31="Evidence required",H31="Evidence required",L31="Evidence required"),"Evidence required",IF(OR(N31="Hypothesis",N31="Observed association",N31="Contradictory or unresolved",Q31&lt;&gt;"Reviewed"),"Review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7" t="str">
        <x:f>IF(A32="","",IF(OR(B32="",C32="",D32="",E32="",F32="",G32="",H32="",I32="",J32="",K32="",L32="",M32="",N32="",O32="",P32="",Q32=""),"Incomplete",IF(OR(F32="Evidence required",H32="Evidence required",L32="Evidence required"),"Evidence required",IF(OR(N32="Hypothesis",N32="Observed association",N32="Contradictory or unresolved",Q32&lt;&gt;"Reviewed"),"Review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7" t="str">
        <x:f>IF(A33="","",IF(OR(B33="",C33="",D33="",E33="",F33="",G33="",H33="",I33="",J33="",K33="",L33="",M33="",N33="",O33="",P33="",Q33=""),"Incomplete",IF(OR(F33="Evidence required",H33="Evidence required",L33="Evidence required"),"Evidence required",IF(OR(N33="Hypothesis",N33="Observed association",N33="Contradictory or unresolved",Q33&lt;&gt;"Reviewed"),"Review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7" t="str">
        <x:f>IF(A34="","",IF(OR(B34="",C34="",D34="",E34="",F34="",G34="",H34="",I34="",J34="",K34="",L34="",M34="",N34="",O34="",P34="",Q34=""),"Incomplete",IF(OR(F34="Evidence required",H34="Evidence required",L34="Evidence required"),"Evidence required",IF(OR(N34="Hypothesis",N34="Observed association",N34="Contradictory or unresolved",Q34&lt;&gt;"Reviewed"),"Review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7" t="str">
        <x:f>IF(A35="","",IF(OR(B35="",C35="",D35="",E35="",F35="",G35="",H35="",I35="",J35="",K35="",L35="",M35="",N35="",O35="",P35="",Q35=""),"Incomplete",IF(OR(F35="Evidence required",H35="Evidence required",L35="Evidence required"),"Evidence required",IF(OR(N35="Hypothesis",N35="Observed association",N35="Contradictory or unresolved",Q35&lt;&gt;"Reviewed"),"Review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7" t="str">
        <x:f>IF(A36="","",IF(OR(B36="",C36="",D36="",E36="",F36="",G36="",H36="",I36="",J36="",K36="",L36="",M36="",N36="",O36="",P36="",Q36=""),"Incomplete",IF(OR(F36="Evidence required",H36="Evidence required",L36="Evidence required"),"Evidence required",IF(OR(N36="Hypothesis",N36="Observed association",N36="Contradictory or unresolved",Q36&lt;&gt;"Reviewed"),"Review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7" t="str">
        <x:f>IF(A37="","",IF(OR(B37="",C37="",D37="",E37="",F37="",G37="",H37="",I37="",J37="",K37="",L37="",M37="",N37="",O37="",P37="",Q37=""),"Incomplete",IF(OR(F37="Evidence required",H37="Evidence required",L37="Evidence required"),"Evidence required",IF(OR(N37="Hypothesis",N37="Observed association",N37="Contradictory or unresolved",Q37&lt;&gt;"Reviewed"),"Review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7" t="str">
        <x:f>IF(A38="","",IF(OR(B38="",C38="",D38="",E38="",F38="",G38="",H38="",I38="",J38="",K38="",L38="",M38="",N38="",O38="",P38="",Q38=""),"Incomplete",IF(OR(F38="Evidence required",H38="Evidence required",L38="Evidence required"),"Evidence required",IF(OR(N38="Hypothesis",N38="Observed association",N38="Contradictory or unresolved",Q38&lt;&gt;"Reviewed"),"Review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7" t="str">
        <x:f>IF(A39="","",IF(OR(B39="",C39="",D39="",E39="",F39="",G39="",H39="",I39="",J39="",K39="",L39="",M39="",N39="",O39="",P39="",Q39=""),"Incomplete",IF(OR(F39="Evidence required",H39="Evidence required",L39="Evidence required"),"Evidence required",IF(OR(N39="Hypothesis",N39="Observed association",N39="Contradictory or unresolved",Q39&lt;&gt;"Reviewed"),"Review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7" t="str">
        <x:f>IF(A40="","",IF(OR(B40="",C40="",D40="",E40="",F40="",G40="",H40="",I40="",J40="",K40="",L40="",M40="",N40="",O40="",P40="",Q40=""),"Incomplete",IF(OR(F40="Evidence required",H40="Evidence required",L40="Evidence required"),"Evidence required",IF(OR(N40="Hypothesis",N40="Observed association",N40="Contradictory or unresolved",Q40&lt;&gt;"Reviewed"),"Review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7" t="str">
        <x:f>IF(A41="","",IF(OR(B41="",C41="",D41="",E41="",F41="",G41="",H41="",I41="",J41="",K41="",L41="",M41="",N41="",O41="",P41="",Q41=""),"Incomplete",IF(OR(F41="Evidence required",H41="Evidence required",L41="Evidence required"),"Evidence required",IF(OR(N41="Hypothesis",N41="Observed association",N41="Contradictory or unresolved",Q41&lt;&gt;"Reviewed"),"Review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7" t="str">
        <x:f>IF(A42="","",IF(OR(B42="",C42="",D42="",E42="",F42="",G42="",H42="",I42="",J42="",K42="",L42="",M42="",N42="",O42="",P42="",Q42=""),"Incomplete",IF(OR(F42="Evidence required",H42="Evidence required",L42="Evidence required"),"Evidence required",IF(OR(N42="Hypothesis",N42="Observed association",N42="Contradictory or unresolved",Q42&lt;&gt;"Reviewed"),"Review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7" t="str">
        <x:f>IF(A43="","",IF(OR(B43="",C43="",D43="",E43="",F43="",G43="",H43="",I43="",J43="",K43="",L43="",M43="",N43="",O43="",P43="",Q43=""),"Incomplete",IF(OR(F43="Evidence required",H43="Evidence required",L43="Evidence required"),"Evidence required",IF(OR(N43="Hypothesis",N43="Observed association",N43="Contradictory or unresolved",Q43&lt;&gt;"Reviewed"),"Review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7" t="str">
        <x:f>IF(A44="","",IF(OR(B44="",C44="",D44="",E44="",F44="",G44="",H44="",I44="",J44="",K44="",L44="",M44="",N44="",O44="",P44="",Q44=""),"Incomplete",IF(OR(F44="Evidence required",H44="Evidence required",L44="Evidence required"),"Evidence required",IF(OR(N44="Hypothesis",N44="Observed association",N44="Contradictory or unresolved",Q44&lt;&gt;"Reviewed"),"Review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7" t="str">
        <x:f>IF(A45="","",IF(OR(B45="",C45="",D45="",E45="",F45="",G45="",H45="",I45="",J45="",K45="",L45="",M45="",N45="",O45="",P45="",Q45=""),"Incomplete",IF(OR(F45="Evidence required",H45="Evidence required",L45="Evidence required"),"Evidence required",IF(OR(N45="Hypothesis",N45="Observed association",N45="Contradictory or unresolved",Q45&lt;&gt;"Reviewed"),"Review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7" t="str">
        <x:f>IF(A46="","",IF(OR(B46="",C46="",D46="",E46="",F46="",G46="",H46="",I46="",J46="",K46="",L46="",M46="",N46="",O46="",P46="",Q46=""),"Incomplete",IF(OR(F46="Evidence required",H46="Evidence required",L46="Evidence required"),"Evidence required",IF(OR(N46="Hypothesis",N46="Observed association",N46="Contradictory or unresolved",Q46&lt;&gt;"Reviewed"),"Review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7" t="str">
        <x:f>IF(A47="","",IF(OR(B47="",C47="",D47="",E47="",F47="",G47="",H47="",I47="",J47="",K47="",L47="",M47="",N47="",O47="",P47="",Q47=""),"Incomplete",IF(OR(F47="Evidence required",H47="Evidence required",L47="Evidence required"),"Evidence required",IF(OR(N47="Hypothesis",N47="Observed association",N47="Contradictory or unresolved",Q47&lt;&gt;"Reviewed"),"Review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7" t="str">
        <x:f>IF(A48="","",IF(OR(B48="",C48="",D48="",E48="",F48="",G48="",H48="",I48="",J48="",K48="",L48="",M48="",N48="",O48="",P48="",Q48=""),"Incomplete",IF(OR(F48="Evidence required",H48="Evidence required",L48="Evidence required"),"Evidence required",IF(OR(N48="Hypothesis",N48="Observed association",N48="Contradictory or unresolved",Q48&lt;&gt;"Reviewed"),"Review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7" t="str">
        <x:f>IF(A49="","",IF(OR(B49="",C49="",D49="",E49="",F49="",G49="",H49="",I49="",J49="",K49="",L49="",M49="",N49="",O49="",P49="",Q49=""),"Incomplete",IF(OR(F49="Evidence required",H49="Evidence required",L49="Evidence required"),"Evidence required",IF(OR(N49="Hypothesis",N49="Observed association",N49="Contradictory or unresolved",Q49&lt;&gt;"Reviewed"),"Review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7" t="str">
        <x:f>IF(A50="","",IF(OR(B50="",C50="",D50="",E50="",F50="",G50="",H50="",I50="",J50="",K50="",L50="",M50="",N50="",O50="",P50="",Q50=""),"Incomplete",IF(OR(F50="Evidence required",H50="Evidence required",L50="Evidence required"),"Evidence required",IF(OR(N50="Hypothesis",N50="Observed association",N50="Contradictory or unresolved",Q50&lt;&gt;"Reviewed"),"Review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7" t="str">
        <x:f>IF(A51="","",IF(OR(B51="",C51="",D51="",E51="",F51="",G51="",H51="",I51="",J51="",K51="",L51="",M51="",N51="",O51="",P51="",Q51=""),"Incomplete",IF(OR(F51="Evidence required",H51="Evidence required",L51="Evidence required"),"Evidence required",IF(OR(N51="Hypothesis",N51="Observed association",N51="Contradictory or unresolved",Q51&lt;&gt;"Reviewed"),"Review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7" t="str">
        <x:f>IF(A52="","",IF(OR(B52="",C52="",D52="",E52="",F52="",G52="",H52="",I52="",J52="",K52="",L52="",M52="",N52="",O52="",P52="",Q52=""),"Incomplete",IF(OR(F52="Evidence required",H52="Evidence required",L52="Evidence required"),"Evidence required",IF(OR(N52="Hypothesis",N52="Observed association",N52="Contradictory or unresolved",Q52&lt;&gt;"Reviewed"),"Review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7" t="str">
        <x:f>IF(A53="","",IF(OR(B53="",C53="",D53="",E53="",F53="",G53="",H53="",I53="",J53="",K53="",L53="",M53="",N53="",O53="",P53="",Q53=""),"Incomplete",IF(OR(F53="Evidence required",H53="Evidence required",L53="Evidence required"),"Evidence required",IF(OR(N53="Hypothesis",N53="Observed association",N53="Contradictory or unresolved",Q53&lt;&gt;"Reviewed"),"Review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7" t="str">
        <x:f>IF(A54="","",IF(OR(B54="",C54="",D54="",E54="",F54="",G54="",H54="",I54="",J54="",K54="",L54="",M54="",N54="",O54="",P54="",Q54=""),"Incomplete",IF(OR(F54="Evidence required",H54="Evidence required",L54="Evidence required"),"Evidence required",IF(OR(N54="Hypothesis",N54="Observed association",N54="Contradictory or unresolved",Q54&lt;&gt;"Reviewed"),"Review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7" t="str">
        <x:f>IF(A55="","",IF(OR(B55="",C55="",D55="",E55="",F55="",G55="",H55="",I55="",J55="",K55="",L55="",M55="",N55="",O55="",P55="",Q55=""),"Incomplete",IF(OR(F55="Evidence required",H55="Evidence required",L55="Evidence required"),"Evidence required",IF(OR(N55="Hypothesis",N55="Observed association",N55="Contradictory or unresolved",Q55&lt;&gt;"Reviewed"),"Review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7" t="str">
        <x:f>IF(A56="","",IF(OR(B56="",C56="",D56="",E56="",F56="",G56="",H56="",I56="",J56="",K56="",L56="",M56="",N56="",O56="",P56="",Q56=""),"Incomplete",IF(OR(F56="Evidence required",H56="Evidence required",L56="Evidence required"),"Evidence required",IF(OR(N56="Hypothesis",N56="Observed association",N56="Contradictory or unresolved",Q56&lt;&gt;"Reviewed"),"Review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7" t="str">
        <x:f>IF(A57="","",IF(OR(B57="",C57="",D57="",E57="",F57="",G57="",H57="",I57="",J57="",K57="",L57="",M57="",N57="",O57="",P57="",Q57=""),"Incomplete",IF(OR(F57="Evidence required",H57="Evidence required",L57="Evidence required"),"Evidence required",IF(OR(N57="Hypothesis",N57="Observed association",N57="Contradictory or unresolved",Q57&lt;&gt;"Reviewed"),"Review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7" t="str">
        <x:f>IF(A58="","",IF(OR(B58="",C58="",D58="",E58="",F58="",G58="",H58="",I58="",J58="",K58="",L58="",M58="",N58="",O58="",P58="",Q58=""),"Incomplete",IF(OR(F58="Evidence required",H58="Evidence required",L58="Evidence required"),"Evidence required",IF(OR(N58="Hypothesis",N58="Observed association",N58="Contradictory or unresolved",Q58&lt;&gt;"Reviewed"),"Review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7" t="str">
        <x:f>IF(A59="","",IF(OR(B59="",C59="",D59="",E59="",F59="",G59="",H59="",I59="",J59="",K59="",L59="",M59="",N59="",O59="",P59="",Q59=""),"Incomplete",IF(OR(F59="Evidence required",H59="Evidence required",L59="Evidence required"),"Evidence required",IF(OR(N59="Hypothesis",N59="Observed association",N59="Contradictory or unresolved",Q59&lt;&gt;"Reviewed"),"Review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7" t="str">
        <x:f>IF(A60="","",IF(OR(B60="",C60="",D60="",E60="",F60="",G60="",H60="",I60="",J60="",K60="",L60="",M60="",N60="",O60="",P60="",Q60=""),"Incomplete",IF(OR(F60="Evidence required",H60="Evidence required",L60="Evidence required"),"Evidence required",IF(OR(N60="Hypothesis",N60="Observed association",N60="Contradictory or unresolved",Q60&lt;&gt;"Reviewed"),"Review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7" t="str">
        <x:f>IF(A61="","",IF(OR(B61="",C61="",D61="",E61="",F61="",G61="",H61="",I61="",J61="",K61="",L61="",M61="",N61="",O61="",P61="",Q61=""),"Incomplete",IF(OR(F61="Evidence required",H61="Evidence required",L61="Evidence required"),"Evidence required",IF(OR(N61="Hypothesis",N61="Observed association",N61="Contradictory or unresolved",Q61&lt;&gt;"Reviewed"),"Review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7" t="str">
        <x:f>IF(A62="","",IF(OR(B62="",C62="",D62="",E62="",F62="",G62="",H62="",I62="",J62="",K62="",L62="",M62="",N62="",O62="",P62="",Q62=""),"Incomplete",IF(OR(F62="Evidence required",H62="Evidence required",L62="Evidence required"),"Evidence required",IF(OR(N62="Hypothesis",N62="Observed association",N62="Contradictory or unresolved",Q62&lt;&gt;"Reviewed"),"Review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7" t="str">
        <x:f>IF(A63="","",IF(OR(B63="",C63="",D63="",E63="",F63="",G63="",H63="",I63="",J63="",K63="",L63="",M63="",N63="",O63="",P63="",Q63=""),"Incomplete",IF(OR(F63="Evidence required",H63="Evidence required",L63="Evidence required"),"Evidence required",IF(OR(N63="Hypothesis",N63="Observed association",N63="Contradictory or unresolved",Q63&lt;&gt;"Reviewed"),"Review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7" t="str">
        <x:f>IF(A64="","",IF(OR(B64="",C64="",D64="",E64="",F64="",G64="",H64="",I64="",J64="",K64="",L64="",M64="",N64="",O64="",P64="",Q64=""),"Incomplete",IF(OR(F64="Evidence required",H64="Evidence required",L64="Evidence required"),"Evidence required",IF(OR(N64="Hypothesis",N64="Observed association",N64="Contradictory or unresolved",Q64&lt;&gt;"Reviewed"),"Review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7" t="str">
        <x:f>IF(A65="","",IF(OR(B65="",C65="",D65="",E65="",F65="",G65="",H65="",I65="",J65="",K65="",L65="",M65="",N65="",O65="",P65="",Q65=""),"Incomplete",IF(OR(F65="Evidence required",H65="Evidence required",L65="Evidence required"),"Evidence required",IF(OR(N65="Hypothesis",N65="Observed association",N65="Contradictory or unresolved",Q65&lt;&gt;"Reviewed"),"Review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7" t="str">
        <x:f>IF(A66="","",IF(OR(B66="",C66="",D66="",E66="",F66="",G66="",H66="",I66="",J66="",K66="",L66="",M66="",N66="",O66="",P66="",Q66=""),"Incomplete",IF(OR(F66="Evidence required",H66="Evidence required",L66="Evidence required"),"Evidence required",IF(OR(N66="Hypothesis",N66="Observed association",N66="Contradictory or unresolved",Q66&lt;&gt;"Reviewed"),"Review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7" t="str">
        <x:f>IF(A67="","",IF(OR(B67="",C67="",D67="",E67="",F67="",G67="",H67="",I67="",J67="",K67="",L67="",M67="",N67="",O67="",P67="",Q67=""),"Incomplete",IF(OR(F67="Evidence required",H67="Evidence required",L67="Evidence required"),"Evidence required",IF(OR(N67="Hypothesis",N67="Observed association",N67="Contradictory or unresolved",Q67&lt;&gt;"Reviewed"),"Review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7" t="str">
        <x:f>IF(A68="","",IF(OR(B68="",C68="",D68="",E68="",F68="",G68="",H68="",I68="",J68="",K68="",L68="",M68="",N68="",O68="",P68="",Q68=""),"Incomplete",IF(OR(F68="Evidence required",H68="Evidence required",L68="Evidence required"),"Evidence required",IF(OR(N68="Hypothesis",N68="Observed association",N68="Contradictory or unresolved",Q68&lt;&gt;"Reviewed"),"Review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7" t="str">
        <x:f>IF(A69="","",IF(OR(B69="",C69="",D69="",E69="",F69="",G69="",H69="",I69="",J69="",K69="",L69="",M69="",N69="",O69="",P69="",Q69=""),"Incomplete",IF(OR(F69="Evidence required",H69="Evidence required",L69="Evidence required"),"Evidence required",IF(OR(N69="Hypothesis",N69="Observed association",N69="Contradictory or unresolved",Q69&lt;&gt;"Reviewed"),"Review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7" t="str">
        <x:f>IF(A70="","",IF(OR(B70="",C70="",D70="",E70="",F70="",G70="",H70="",I70="",J70="",K70="",L70="",M70="",N70="",O70="",P70="",Q70=""),"Incomplete",IF(OR(F70="Evidence required",H70="Evidence required",L70="Evidence required"),"Evidence required",IF(OR(N70="Hypothesis",N70="Observed association",N70="Contradictory or unresolved",Q70&lt;&gt;"Reviewed"),"Review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7" t="str">
        <x:f>IF(A71="","",IF(OR(B71="",C71="",D71="",E71="",F71="",G71="",H71="",I71="",J71="",K71="",L71="",M71="",N71="",O71="",P71="",Q71=""),"Incomplete",IF(OR(F71="Evidence required",H71="Evidence required",L71="Evidence required"),"Evidence required",IF(OR(N71="Hypothesis",N71="Observed association",N71="Contradictory or unresolved",Q71&lt;&gt;"Reviewed"),"Review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7" t="str">
        <x:f>IF(A72="","",IF(OR(B72="",C72="",D72="",E72="",F72="",G72="",H72="",I72="",J72="",K72="",L72="",M72="",N72="",O72="",P72="",Q72=""),"Incomplete",IF(OR(F72="Evidence required",H72="Evidence required",L72="Evidence required"),"Evidence required",IF(OR(N72="Hypothesis",N72="Observed association",N72="Contradictory or unresolved",Q72&lt;&gt;"Reviewed"),"Review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7" t="str">
        <x:f>IF(A73="","",IF(OR(B73="",C73="",D73="",E73="",F73="",G73="",H73="",I73="",J73="",K73="",L73="",M73="",N73="",O73="",P73="",Q73=""),"Incomplete",IF(OR(F73="Evidence required",H73="Evidence required",L73="Evidence required"),"Evidence required",IF(OR(N73="Hypothesis",N73="Observed association",N73="Contradictory or unresolved",Q73&lt;&gt;"Reviewed"),"Review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7" t="str">
        <x:f>IF(A74="","",IF(OR(B74="",C74="",D74="",E74="",F74="",G74="",H74="",I74="",J74="",K74="",L74="",M74="",N74="",O74="",P74="",Q74=""),"Incomplete",IF(OR(F74="Evidence required",H74="Evidence required",L74="Evidence required"),"Evidence required",IF(OR(N74="Hypothesis",N74="Observed association",N74="Contradictory or unresolved",Q74&lt;&gt;"Reviewed"),"Review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7" t="str">
        <x:f>IF(A75="","",IF(OR(B75="",C75="",D75="",E75="",F75="",G75="",H75="",I75="",J75="",K75="",L75="",M75="",N75="",O75="",P75="",Q75=""),"Incomplete",IF(OR(F75="Evidence required",H75="Evidence required",L75="Evidence required"),"Evidence required",IF(OR(N75="Hypothesis",N75="Observed association",N75="Contradictory or unresolved",Q75&lt;&gt;"Reviewed"),"Review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7" t="str">
        <x:f>IF(A76="","",IF(OR(B76="",C76="",D76="",E76="",F76="",G76="",H76="",I76="",J76="",K76="",L76="",M76="",N76="",O76="",P76="",Q76=""),"Incomplete",IF(OR(F76="Evidence required",H76="Evidence required",L76="Evidence required"),"Evidence required",IF(OR(N76="Hypothesis",N76="Observed association",N76="Contradictory or unresolved",Q76&lt;&gt;"Reviewed"),"Review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7" t="str">
        <x:f>IF(A77="","",IF(OR(B77="",C77="",D77="",E77="",F77="",G77="",H77="",I77="",J77="",K77="",L77="",M77="",N77="",O77="",P77="",Q77=""),"Incomplete",IF(OR(F77="Evidence required",H77="Evidence required",L77="Evidence required"),"Evidence required",IF(OR(N77="Hypothesis",N77="Observed association",N77="Contradictory or unresolved",Q77&lt;&gt;"Reviewed"),"Review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7" t="str">
        <x:f>IF(A78="","",IF(OR(B78="",C78="",D78="",E78="",F78="",G78="",H78="",I78="",J78="",K78="",L78="",M78="",N78="",O78="",P78="",Q78=""),"Incomplete",IF(OR(F78="Evidence required",H78="Evidence required",L78="Evidence required"),"Evidence required",IF(OR(N78="Hypothesis",N78="Observed association",N78="Contradictory or unresolved",Q78&lt;&gt;"Reviewed"),"Review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7" t="str">
        <x:f>IF(A79="","",IF(OR(B79="",C79="",D79="",E79="",F79="",G79="",H79="",I79="",J79="",K79="",L79="",M79="",N79="",O79="",P79="",Q79=""),"Incomplete",IF(OR(F79="Evidence required",H79="Evidence required",L79="Evidence required"),"Evidence required",IF(OR(N79="Hypothesis",N79="Observed association",N79="Contradictory or unresolved",Q79&lt;&gt;"Reviewed"),"Review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7" t="str">
        <x:f>IF(A80="","",IF(OR(B80="",C80="",D80="",E80="",F80="",G80="",H80="",I80="",J80="",K80="",L80="",M80="",N80="",O80="",P80="",Q80=""),"Incomplete",IF(OR(F80="Evidence required",H80="Evidence required",L80="Evidence required"),"Evidence required",IF(OR(N80="Hypothesis",N80="Observed association",N80="Contradictory or unresolved",Q80&lt;&gt;"Reviewed"),"Review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7" t="str">
        <x:f>IF(A81="","",IF(OR(B81="",C81="",D81="",E81="",F81="",G81="",H81="",I81="",J81="",K81="",L81="",M81="",N81="",O81="",P81="",Q81=""),"Incomplete",IF(OR(F81="Evidence required",H81="Evidence required",L81="Evidence required"),"Evidence required",IF(OR(N81="Hypothesis",N81="Observed association",N81="Contradictory or unresolved",Q81&lt;&gt;"Reviewed"),"Review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7" t="str">
        <x:f>IF(A82="","",IF(OR(B82="",C82="",D82="",E82="",F82="",G82="",H82="",I82="",J82="",K82="",L82="",M82="",N82="",O82="",P82="",Q82=""),"Incomplete",IF(OR(F82="Evidence required",H82="Evidence required",L82="Evidence required"),"Evidence required",IF(OR(N82="Hypothesis",N82="Observed association",N82="Contradictory or unresolved",Q82&lt;&gt;"Reviewed"),"Review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7" t="str">
        <x:f>IF(A83="","",IF(OR(B83="",C83="",D83="",E83="",F83="",G83="",H83="",I83="",J83="",K83="",L83="",M83="",N83="",O83="",P83="",Q83=""),"Incomplete",IF(OR(F83="Evidence required",H83="Evidence required",L83="Evidence required"),"Evidence required",IF(OR(N83="Hypothesis",N83="Observed association",N83="Contradictory or unresolved",Q83&lt;&gt;"Reviewed"),"Review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7" t="str">
        <x:f>IF(A84="","",IF(OR(B84="",C84="",D84="",E84="",F84="",G84="",H84="",I84="",J84="",K84="",L84="",M84="",N84="",O84="",P84="",Q84=""),"Incomplete",IF(OR(F84="Evidence required",H84="Evidence required",L84="Evidence required"),"Evidence required",IF(OR(N84="Hypothesis",N84="Observed association",N84="Contradictory or unresolved",Q84&lt;&gt;"Reviewed"),"Review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7" t="str">
        <x:f>IF(A85="","",IF(OR(B85="",C85="",D85="",E85="",F85="",G85="",H85="",I85="",J85="",K85="",L85="",M85="",N85="",O85="",P85="",Q85=""),"Incomplete",IF(OR(F85="Evidence required",H85="Evidence required",L85="Evidence required"),"Evidence required",IF(OR(N85="Hypothesis",N85="Observed association",N85="Contradictory or unresolved",Q85&lt;&gt;"Reviewed"),"Review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7" t="str">
        <x:f>IF(A86="","",IF(OR(B86="",C86="",D86="",E86="",F86="",G86="",H86="",I86="",J86="",K86="",L86="",M86="",N86="",O86="",P86="",Q86=""),"Incomplete",IF(OR(F86="Evidence required",H86="Evidence required",L86="Evidence required"),"Evidence required",IF(OR(N86="Hypothesis",N86="Observed association",N86="Contradictory or unresolved",Q86&lt;&gt;"Reviewed"),"Review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7" t="str">
        <x:f>IF(A87="","",IF(OR(B87="",C87="",D87="",E87="",F87="",G87="",H87="",I87="",J87="",K87="",L87="",M87="",N87="",O87="",P87="",Q87=""),"Incomplete",IF(OR(F87="Evidence required",H87="Evidence required",L87="Evidence required"),"Evidence required",IF(OR(N87="Hypothesis",N87="Observed association",N87="Contradictory or unresolved",Q87&lt;&gt;"Reviewed"),"Review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7" t="str">
        <x:f>IF(A88="","",IF(OR(B88="",C88="",D88="",E88="",F88="",G88="",H88="",I88="",J88="",K88="",L88="",M88="",N88="",O88="",P88="",Q88=""),"Incomplete",IF(OR(F88="Evidence required",H88="Evidence required",L88="Evidence required"),"Evidence required",IF(OR(N88="Hypothesis",N88="Observed association",N88="Contradictory or unresolved",Q88&lt;&gt;"Reviewed"),"Review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7" t="str">
        <x:f>IF(A89="","",IF(OR(B89="",C89="",D89="",E89="",F89="",G89="",H89="",I89="",J89="",K89="",L89="",M89="",N89="",O89="",P89="",Q89=""),"Incomplete",IF(OR(F89="Evidence required",H89="Evidence required",L89="Evidence required"),"Evidence required",IF(OR(N89="Hypothesis",N89="Observed association",N89="Contradictory or unresolved",Q89&lt;&gt;"Reviewed"),"Review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7" t="str">
        <x:f>IF(A90="","",IF(OR(B90="",C90="",D90="",E90="",F90="",G90="",H90="",I90="",J90="",K90="",L90="",M90="",N90="",O90="",P90="",Q90=""),"Incomplete",IF(OR(F90="Evidence required",H90="Evidence required",L90="Evidence required"),"Evidence required",IF(OR(N90="Hypothesis",N90="Observed association",N90="Contradictory or unresolved",Q90&lt;&gt;"Reviewed"),"Review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7" t="str">
        <x:f>IF(A91="","",IF(OR(B91="",C91="",D91="",E91="",F91="",G91="",H91="",I91="",J91="",K91="",L91="",M91="",N91="",O91="",P91="",Q91=""),"Incomplete",IF(OR(F91="Evidence required",H91="Evidence required",L91="Evidence required"),"Evidence required",IF(OR(N91="Hypothesis",N91="Observed association",N91="Contradictory or unresolved",Q91&lt;&gt;"Reviewed"),"Review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7" t="str">
        <x:f>IF(A92="","",IF(OR(B92="",C92="",D92="",E92="",F92="",G92="",H92="",I92="",J92="",K92="",L92="",M92="",N92="",O92="",P92="",Q92=""),"Incomplete",IF(OR(F92="Evidence required",H92="Evidence required",L92="Evidence required"),"Evidence required",IF(OR(N92="Hypothesis",N92="Observed association",N92="Contradictory or unresolved",Q92&lt;&gt;"Reviewed"),"Review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7" t="str">
        <x:f>IF(A93="","",IF(OR(B93="",C93="",D93="",E93="",F93="",G93="",H93="",I93="",J93="",K93="",L93="",M93="",N93="",O93="",P93="",Q93=""),"Incomplete",IF(OR(F93="Evidence required",H93="Evidence required",L93="Evidence required"),"Evidence required",IF(OR(N93="Hypothesis",N93="Observed association",N93="Contradictory or unresolved",Q93&lt;&gt;"Reviewed"),"Review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7" t="str">
        <x:f>IF(A94="","",IF(OR(B94="",C94="",D94="",E94="",F94="",G94="",H94="",I94="",J94="",K94="",L94="",M94="",N94="",O94="",P94="",Q94=""),"Incomplete",IF(OR(F94="Evidence required",H94="Evidence required",L94="Evidence required"),"Evidence required",IF(OR(N94="Hypothesis",N94="Observed association",N94="Contradictory or unresolved",Q94&lt;&gt;"Reviewed"),"Review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7" t="str">
        <x:f>IF(A95="","",IF(OR(B95="",C95="",D95="",E95="",F95="",G95="",H95="",I95="",J95="",K95="",L95="",M95="",N95="",O95="",P95="",Q95=""),"Incomplete",IF(OR(F95="Evidence required",H95="Evidence required",L95="Evidence required"),"Evidence required",IF(OR(N95="Hypothesis",N95="Observed association",N95="Contradictory or unresolved",Q95&lt;&gt;"Reviewed"),"Review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7" t="str">
        <x:f>IF(A96="","",IF(OR(B96="",C96="",D96="",E96="",F96="",G96="",H96="",I96="",J96="",K96="",L96="",M96="",N96="",O96="",P96="",Q96=""),"Incomplete",IF(OR(F96="Evidence required",H96="Evidence required",L96="Evidence required"),"Evidence required",IF(OR(N96="Hypothesis",N96="Observed association",N96="Contradictory or unresolved",Q96&lt;&gt;"Reviewed"),"Review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7" t="str">
        <x:f>IF(A97="","",IF(OR(B97="",C97="",D97="",E97="",F97="",G97="",H97="",I97="",J97="",K97="",L97="",M97="",N97="",O97="",P97="",Q97=""),"Incomplete",IF(OR(F97="Evidence required",H97="Evidence required",L97="Evidence required"),"Evidence required",IF(OR(N97="Hypothesis",N97="Observed association",N97="Contradictory or unresolved",Q97&lt;&gt;"Reviewed"),"Review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7" t="str">
        <x:f>IF(A98="","",IF(OR(B98="",C98="",D98="",E98="",F98="",G98="",H98="",I98="",J98="",K98="",L98="",M98="",N98="",O98="",P98="",Q98=""),"Incomplete",IF(OR(F98="Evidence required",H98="Evidence required",L98="Evidence required"),"Evidence required",IF(OR(N98="Hypothesis",N98="Observed association",N98="Contradictory or unresolved",Q98&lt;&gt;"Reviewed"),"Review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7" t="str">
        <x:f>IF(A99="","",IF(OR(B99="",C99="",D99="",E99="",F99="",G99="",H99="",I99="",J99="",K99="",L99="",M99="",N99="",O99="",P99="",Q99=""),"Incomplete",IF(OR(F99="Evidence required",H99="Evidence required",L99="Evidence required"),"Evidence required",IF(OR(N99="Hypothesis",N99="Observed association",N99="Contradictory or unresolved",Q99&lt;&gt;"Reviewed"),"Review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7" t="str">
        <x:f>IF(A100="","",IF(OR(B100="",C100="",D100="",E100="",F100="",G100="",H100="",I100="",J100="",K100="",L100="",M100="",N100="",O100="",P100="",Q100=""),"Incomplete",IF(OR(F100="Evidence required",H100="Evidence required",L100="Evidence required"),"Evidence required",IF(OR(N100="Hypothesis",N100="Observed association",N100="Contradictory or unresolved",Q100&lt;&gt;"Reviewed"),"Review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7" t="str">
        <x:f>IF(A101="","",IF(OR(B101="",C101="",D101="",E101="",F101="",G101="",H101="",I101="",J101="",K101="",L101="",M101="",N101="",O101="",P101="",Q101=""),"Incomplete",IF(OR(F101="Evidence required",H101="Evidence required",L101="Evidence required"),"Evidence required",IF(OR(N101="Hypothesis",N101="Observed association",N101="Contradictory or unresolved",Q101&lt;&gt;"Reviewed"),"Review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7" t="str">
        <x:f>IF(A102="","",IF(OR(B102="",C102="",D102="",E102="",F102="",G102="",H102="",I102="",J102="",K102="",L102="",M102="",N102="",O102="",P102="",Q102=""),"Incomplete",IF(OR(F102="Evidence required",H102="Evidence required",L102="Evidence required"),"Evidence required",IF(OR(N102="Hypothesis",N102="Observed association",N102="Contradictory or unresolved",Q102&lt;&gt;"Reviewed"),"Review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7" t="str">
        <x:f>IF(A103="","",IF(OR(B103="",C103="",D103="",E103="",F103="",G103="",H103="",I103="",J103="",K103="",L103="",M103="",N103="",O103="",P103="",Q103=""),"Incomplete",IF(OR(F103="Evidence required",H103="Evidence required",L103="Evidence required"),"Evidence required",IF(OR(N103="Hypothesis",N103="Observed association",N103="Contradictory or unresolved",Q103&lt;&gt;"Reviewed"),"Review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7" t="str">
        <x:f>IF(A104="","",IF(OR(B104="",C104="",D104="",E104="",F104="",G104="",H104="",I104="",J104="",K104="",L104="",M104="",N104="",O104="",P104="",Q104=""),"Incomplete",IF(OR(F104="Evidence required",H104="Evidence required",L104="Evidence required"),"Evidence required",IF(OR(N104="Hypothesis",N104="Observed association",N104="Contradictory or unresolved",Q104&lt;&gt;"Reviewed"),"Review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8" t="str">
        <x:f>IF(A105="","",IF(OR(B105="",C105="",D105="",E105="",F105="",G105="",H105="",I105="",J105="",K105="",L105="",M105="",N105="",O105="",P105="",Q105=""),"Incomplete",IF(OR(F105="Evidence required",H105="Evidence required",L105="Evidence required"),"Evidence required",IF(OR(N105="Hypothesis",N105="Observed association",N105="Contradictory or unresolved",Q105&lt;&gt;"Reviewed"),"Review required","Ready for qualified review"))))</x:f>
      </x:c>
    </x:row>
  </x:sheetData>
  <x:mergeCells>
    <x:mergeCell ref="A1:R1"/>
    <x:mergeCell ref="A2:R2"/>
  </x:mergeCells>
  <x:conditionalFormatting sqref="R6:R1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3">
    <x:dataValidation type="list" sqref="B6:B105">
      <x:formula1>"Long-term,Accelerated / supporting,Stress / forced degradation,Photostability,Transport / agitation,Freeze-thaw,In-use / preparation,Comparability / change,Commitment,Other"</x:formula1>
    </x:dataValidation>
    <x:dataValidation type="list" sqref="N6:N105">
      <x:formula1>"Hypothesis,Observed association,Designed-study support,Multi-source support,Contradictory or unresolved"</x:formula1>
    </x:dataValidation>
    <x:dataValidation type="list" sqref="Q6:Q105">
      <x:formula1>"Not started,Draft,In review,Reviewed"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6" hidden="0" customWidth="1"/>
    <x:col min="4" max="4" width="18" hidden="0" customWidth="1"/>
    <x:col min="5" max="5" width="40" hidden="0" customWidth="1"/>
    <x:col min="6" max="6" width="38" hidden="0" customWidth="1"/>
    <x:col min="7" max="7" width="38" hidden="0" customWidth="1"/>
    <x:col min="8" max="8" width="42" hidden="0" customWidth="1"/>
    <x:col min="9" max="9" width="23" hidden="0" customWidth="1"/>
    <x:col min="10" max="10" width="28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Preserve provenance, representative scope, method and sample limitations, contradiction, and reviewer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47" t="str">
        <x:v>Evidence ID</x:v>
      </x:c>
      <x:c r="B5" s="48" t="str">
        <x:v>Evidence type</x:v>
      </x:c>
      <x:c r="C5" s="48" t="str">
        <x:v>Title / controlled record</x:v>
      </x:c>
      <x:c r="D5" s="48" t="str">
        <x:v>Version / date</x:v>
      </x:c>
      <x:c r="E5" s="48" t="str">
        <x:v>Locator / record reference</x:v>
      </x:c>
      <x:c r="F5" s="48" t="str">
        <x:v>Product / formulation / process / presentation scope</x:v>
      </x:c>
      <x:c r="G5" s="48" t="str">
        <x:v>Supports</x:v>
      </x:c>
      <x:c r="H5" s="48" t="str">
        <x:v>Contradicts / limitations</x:v>
      </x:c>
      <x:c r="I5" s="48" t="str">
        <x:v>Evidence strength</x:v>
      </x:c>
      <x:c r="J5" s="48" t="str">
        <x:v>Reviewer role</x:v>
      </x:c>
      <x:c r="K5" s="49" t="str">
        <x:v>Attention</x:v>
      </x:c>
    </x:row>
    <x:row r="6">
      <x:c r="A6" s="60" t="str">
        <x:v>EVD-001</x:v>
      </x:c>
      <x:c r="B6" s="60" t="str">
        <x:v>Official guidance</x:v>
      </x:c>
      <x:c r="C6" s="60" t="str">
        <x:v>ICH Q5C</x:v>
      </x:c>
      <x:c r="D6" s="60" t="str">
        <x:v>Current source catalog</x:v>
      </x:c>
      <x:c r="E6" s="60" t="str">
        <x:v>https://database.ich.org/sites/default/files/Q5C%20Guideline.pdf</x:v>
      </x:c>
      <x:c r="F6" s="60" t="str">
        <x:v>Applicable protein-biologic stability context</x:v>
      </x:c>
      <x:c r="G6" s="60" t="str">
        <x:v>Biologics-specific material, analytical, study, and storage principles</x:v>
      </x:c>
      <x:c r="H6" s="60" t="str">
        <x:v>No product-specific shelf life, condition, schedule, or criterion</x:v>
      </x:c>
      <x:c r="I6" s="60" t="str">
        <x:v>Multi-source support</x:v>
      </x:c>
      <x:c r="J6" s="60" t="str">
        <x:v>Stability / Regulatory CMC</x:v>
      </x:c>
      <x:c r="K6" s="66" t="str">
        <x:f>IF(A6="","",IF(OR(B6="",C6="",D6="",E6="",F6="",G6="",H6="",I6="",J6=""),"Incomplete",IF(E6="Evidence required","Evidence required",IF(OR(I6="Hypothesis",I6="Observed association",I6="Contradictory or unresolved"),"Review required","Ready for qualified review"))))</x:f>
        <x:v>Ready for qualified review</x:v>
      </x:c>
    </x:row>
    <x:row r="7">
      <x:c r="A7" s="61" t="str">
        <x:v>EVD-002</x:v>
      </x:c>
      <x:c r="B7" s="61" t="str">
        <x:v>Official guidance</x:v>
      </x:c>
      <x:c r="C7" s="61" t="str">
        <x:v>ICH Q1A(R2) and Q1B</x:v>
      </x:c>
      <x:c r="D7" s="61" t="str">
        <x:v>Current final guidelines; revision monitored</x:v>
      </x:c>
      <x:c r="E7" s="61" t="str">
        <x:v>https://database.ich.org/sites/default/files/Q1A%28R2%29%20Step4.pdf | https://database.ich.org/sites/default/files/Q1B_Guideline.pdf</x:v>
      </x:c>
      <x:c r="F7" s="61" t="str">
        <x:v>Applicable general stability and photostability context</x:v>
      </x:c>
      <x:c r="G7" s="61" t="str">
        <x:v>Study-program and light-exposure principles used with Q5C</x:v>
      </x:c>
      <x:c r="H7" s="61" t="str">
        <x:v>Draft consolidated Q1 is not treated as effective guidance</x:v>
      </x:c>
      <x:c r="I7" s="61" t="str">
        <x:v>Multi-source support</x:v>
      </x:c>
      <x:c r="J7" s="61" t="str">
        <x:v>Stability / Regulatory CMC</x:v>
      </x:c>
      <x:c r="K7" s="67" t="str">
        <x:f>IF(A7="","",IF(OR(B7="",C7="",D7="",E7="",F7="",G7="",H7="",I7="",J7=""),"Incomplete",IF(E7="Evidence required","Evidence required",IF(OR(I7="Hypothesis",I7="Observed association",I7="Contradictory or unresolved"),"Review required","Ready for qualified review"))))</x:f>
        <x:v>Ready for qualified review</x:v>
      </x:c>
    </x:row>
    <x:row r="8">
      <x:c r="A8" s="61" t="str">
        <x:v>EVD-003</x:v>
      </x:c>
      <x:c r="B8" s="61" t="str">
        <x:v>Official guidance</x:v>
      </x:c>
      <x:c r="C8" s="61" t="str">
        <x:v>EU GMP Annex 1</x:v>
      </x:c>
      <x:c r="D8" s="61" t="str">
        <x:v>2022 revision</x:v>
      </x:c>
      <x:c r="E8" s="61" t="str">
        <x:v>https://health.ec.europa.eu/medicinal-products/eudralex/eudralex-volume-4_en</x:v>
      </x:c>
      <x:c r="F8" s="61" t="str">
        <x:v>Applicable sterile fill-finish and presentation scope</x:v>
      </x:c>
      <x:c r="G8" s="61" t="str">
        <x:v>Sterile manufacture and integrity-control context</x:v>
      </x:c>
      <x:c r="H8" s="61" t="str">
        <x:v>Does not establish molecular stability or prove sterility by final testing</x:v>
      </x:c>
      <x:c r="I8" s="61" t="str">
        <x:v>Multi-source support</x:v>
      </x:c>
      <x:c r="J8" s="61" t="str">
        <x:v>Sterile product quality / Validation</x:v>
      </x:c>
      <x:c r="K8" s="67" t="str">
        <x:f>IF(A8="","",IF(OR(B8="",C8="",D8="",E8="",F8="",G8="",H8="",I8="",J8=""),"Incomplete",IF(E8="Evidence required","Evidence required",IF(OR(I8="Hypothesis",I8="Observed association",I8="Contradictory or unresolved"),"Review required","Ready for qualified review"))))</x:f>
        <x:v>Ready for qualified review</x:v>
      </x:c>
    </x:row>
    <x:row r="9">
      <x:c r="A9" s="61" t="str">
        <x:v>EVD-004</x:v>
      </x:c>
      <x:c r="B9" s="61" t="str">
        <x:v>Analytical study</x:v>
      </x:c>
      <x:c r="C9" s="61" t="str">
        <x:v>Fictional product characterization and stability-indicating method package</x:v>
      </x:c>
      <x:c r="D9" s="61" t="str">
        <x:v>FIC-CHAR-STAB-11; fictional</x:v>
      </x:c>
      <x:c r="E9" s="61" t="str">
        <x:v>Controlled site record reference pending</x:v>
      </x:c>
      <x:c r="F9" s="61" t="str">
        <x:v>FIC-MAB-03, F-09, current P-03</x:v>
      </x:c>
      <x:c r="G9" s="61" t="str">
        <x:v>Current product attributes, degradation observations, and orthogonal method context</x:v>
      </x:c>
      <x:c r="H9" s="61" t="str">
        <x:v>Fictional; proposed change, particle identity, and some method/sample effects remain open</x:v>
      </x:c>
      <x:c r="I9" s="61" t="str">
        <x:v>Designed-study support</x:v>
      </x:c>
      <x:c r="J9" s="61" t="str">
        <x:v>Analytical development / Product quality</x:v>
      </x:c>
      <x:c r="K9" s="67" t="str">
        <x:f>IF(A9="","",IF(OR(B9="",C9="",D9="",E9="",F9="",G9="",H9="",I9="",J9=""),"Incomplete",IF(E9="Evidence required","Evidence required",IF(OR(I9="Hypothesis",I9="Observed association",I9="Contradictory or unresolved"),"Review required","Ready for qualified review"))))</x:f>
        <x:v>Ready for qualified review</x:v>
      </x:c>
    </x:row>
    <x:row r="10">
      <x:c r="A10" s="61" t="str">
        <x:v>EVD-005</x:v>
      </x:c>
      <x:c r="B10" s="61" t="str">
        <x:v>Controlled study</x:v>
      </x:c>
      <x:c r="C10" s="61" t="str">
        <x:v>Fictional formulation, process, and long-term stability package</x:v>
      </x:c>
      <x:c r="D10" s="61" t="str">
        <x:v>FIC-FS-09; fictional</x:v>
      </x:c>
      <x:c r="E10" s="61" t="str">
        <x:v>Controlled site record reference pending</x:v>
      </x:c>
      <x:c r="F10" s="61" t="str">
        <x:v>Current F-09 formulation, FF-04 process, and P-03 presentation</x:v>
      </x:c>
      <x:c r="G10" s="61" t="str">
        <x:v>Current formulation/process relationships and stability program</x:v>
      </x:c>
      <x:c r="H10" s="61" t="str">
        <x:v>Does not cover all proposed stopper and revised hold/agitation scope</x:v>
      </x:c>
      <x:c r="I10" s="61" t="str">
        <x:v>Designed-study support</x:v>
      </x:c>
      <x:c r="J10" s="61" t="str">
        <x:v>Formulation / Stability / MSAT</x:v>
      </x:c>
      <x:c r="K10" s="67" t="str">
        <x:f>IF(A10="","",IF(OR(B10="",C10="",D10="",E10="",F10="",G10="",H10="",I10="",J10=""),"Incomplete",IF(E10="Evidence required","Evidence required",IF(OR(I10="Hypothesis",I10="Observed association",I10="Contradictory or unresolved"),"Review required","Ready for qualified review"))))</x:f>
        <x:v>Ready for qualified review</x:v>
      </x:c>
    </x:row>
    <x:row r="11">
      <x:c r="A11" s="61" t="str">
        <x:v>EVD-006</x:v>
      </x:c>
      <x:c r="B11" s="61" t="str">
        <x:v>Manufacturing data</x:v>
      </x:c>
      <x:c r="C11" s="61" t="str">
        <x:v>Fictional fill-finish and product trend</x:v>
      </x:c>
      <x:c r="D11" s="61" t="str">
        <x:v>FIC-FF-2026Q2; fictional</x:v>
      </x:c>
      <x:c r="E11" s="61" t="str">
        <x:v>Controlled site record reference pending</x:v>
      </x:c>
      <x:c r="F11" s="61" t="str">
        <x:v>Limited current and engineering-lot process history</x:v>
      </x:c>
      <x:c r="G11" s="61" t="str">
        <x:v>Line exposure, release, selected stability, aggregate, and particle observations</x:v>
      </x:c>
      <x:c r="H11" s="61" t="str">
        <x:v>Limited lots and confounding across process, transport, sample, method, and container</x:v>
      </x:c>
      <x:c r="I11" s="61" t="str">
        <x:v>Observed association</x:v>
      </x:c>
      <x:c r="J11" s="61" t="str">
        <x:v>Fill-finish MSAT / Statistics</x:v>
      </x:c>
      <x:c r="K11" s="67" t="str">
        <x:f>IF(A11="","",IF(OR(B11="",C11="",D11="",E11="",F11="",G11="",H11="",I11="",J11=""),"Incomplete",IF(E11="Evidence required","Evidence required",IF(OR(I11="Hypothesis",I11="Observed association",I11="Contradictory or unresolved"),"Review required","Ready for qualified review"))))</x:f>
        <x:v>Review required</x:v>
      </x:c>
    </x:row>
    <x:row r="12">
      <x:c r="A12" s="61" t="str">
        <x:v>EVD-007</x:v>
      </x:c>
      <x:c r="B12" s="61" t="str">
        <x:v>Container / integrity study</x:v>
      </x:c>
      <x:c r="C12" s="61" t="str">
        <x:v>Fictional current presentation and proposed-stopper assessment</x:v>
      </x:c>
      <x:c r="D12" s="61" t="str">
        <x:v>FIC-CCS-021; fictional</x:v>
      </x:c>
      <x:c r="E12" s="61" t="str">
        <x:v>Controlled site record reference pending</x:v>
      </x:c>
      <x:c r="F12" s="61" t="str">
        <x:v>Current P-03 and proposed stopper S-02</x:v>
      </x:c>
      <x:c r="G12" s="61" t="str">
        <x:v>Material, compatibility, integrity, functional, and handling questions</x:v>
      </x:c>
      <x:c r="H12" s="61" t="str">
        <x:v>Proposed complete-system evidence, aging, and change conclusion remain open</x:v>
      </x:c>
      <x:c r="I12" s="61" t="str">
        <x:v>Contradictory or unresolved</x:v>
      </x:c>
      <x:c r="J12" s="61" t="str">
        <x:v>Container engineering / Quality</x:v>
      </x:c>
      <x:c r="K12" s="67" t="str">
        <x:f>IF(A12="","",IF(OR(B12="",C12="",D12="",E12="",F12="",G12="",H12="",I12="",J12=""),"Incomplete",IF(E12="Evidence required","Evidence required",IF(OR(I12="Hypothesis",I12="Observed association",I12="Contradictory or unresolved"),"Review required","Ready for qualified review"))))</x:f>
        <x:v>Review required</x:v>
      </x:c>
    </x:row>
    <x:row r="13">
      <x:c r="A13" s="61" t="str">
        <x:v>EVD-008</x:v>
      </x:c>
      <x:c r="B13" s="61" t="str">
        <x:v>Material / supplier evidence</x:v>
      </x:c>
      <x:c r="C13" s="61" t="str">
        <x:v>Fictional stopper and formulation-component supplier package</x:v>
      </x:c>
      <x:c r="D13" s="61" t="str">
        <x:v>FIC-MAT-042; fictional</x:v>
      </x:c>
      <x:c r="E13" s="61" t="str">
        <x:v>Controlled site record reference pending</x:v>
      </x:c>
      <x:c r="F13" s="61" t="str">
        <x:v>Proposed stopper and current formulation materials</x:v>
      </x:c>
      <x:c r="G13" s="61" t="str">
        <x:v>Material identity, description, and selected supplier evidence</x:v>
      </x:c>
      <x:c r="H13" s="61" t="str">
        <x:v>Supplier evidence does not establish complete-system suitability, equivalence, or product stability</x:v>
      </x:c>
      <x:c r="I13" s="61" t="str">
        <x:v>Observed association</x:v>
      </x:c>
      <x:c r="J13" s="61" t="str">
        <x:v>Materials / Formulation / Quality</x:v>
      </x:c>
      <x:c r="K13" s="67" t="str">
        <x:f>IF(A13="","",IF(OR(B13="",C13="",D13="",E13="",F13="",G13="",H13="",I13="",J13=""),"Incomplete",IF(E13="Evidence required","Evidence required",IF(OR(I13="Hypothesis",I13="Observed association",I13="Contradictory or unresolved"),"Review required","Ready for qualified review"))))</x:f>
        <x:v>Review required</x:v>
      </x:c>
    </x:row>
    <x:row r="14">
      <x:c r="A14" s="61" t="str">
        <x:v>EVD-009</x:v>
      </x:c>
      <x:c r="B14" s="61" t="str">
        <x:v>Shipping study</x:v>
      </x:c>
      <x:c r="C14" s="61" t="str">
        <x:v>Fictional transport simulation and sample-handling assessment</x:v>
      </x:c>
      <x:c r="D14" s="61" t="str">
        <x:v>FIC-TRANS-014; fictional</x:v>
      </x:c>
      <x:c r="E14" s="61" t="str">
        <x:v>Controlled site record reference pending</x:v>
      </x:c>
      <x:c r="F14" s="61" t="str">
        <x:v>Selected current/proposed presentation and process samples</x:v>
      </x:c>
      <x:c r="G14" s="61" t="str">
        <x:v>Particle/aggregate observations across selected handling scenarios</x:v>
      </x:c>
      <x:c r="H14" s="61" t="str">
        <x:v>Representativeness, particle identity, causality, method, and sample-handling effects remain open</x:v>
      </x:c>
      <x:c r="I14" s="61" t="str">
        <x:v>Contradictory or unresolved</x:v>
      </x:c>
      <x:c r="J14" s="61" t="str">
        <x:v>Product quality / Stability / Supply chain</x:v>
      </x:c>
      <x:c r="K14" s="67" t="str">
        <x:f>IF(A14="","",IF(OR(B14="",C14="",D14="",E14="",F14="",G14="",H14="",I14="",J14=""),"Incomplete",IF(E14="Evidence required","Evidence required",IF(OR(I14="Hypothesis",I14="Observed association",I14="Contradictory or unresolved"),"Review required","Ready for qualified review"))))</x:f>
        <x:v>Review required</x:v>
      </x:c>
    </x:row>
    <x:row r="15">
      <x:c r="A15" s="61" t="str">
        <x:v>EVD-010</x:v>
      </x:c>
      <x:c r="B15" s="61" t="str">
        <x:v>Deviation / change record</x:v>
      </x:c>
      <x:c r="C15" s="61" t="str">
        <x:v>Fictional integrated change record CHG-021</x:v>
      </x:c>
      <x:c r="D15" s="61" t="str">
        <x:v>FIC-CHG-021; fictional</x:v>
      </x:c>
      <x:c r="E15" s="61" t="str">
        <x:v>Controlled site record reference pending</x:v>
      </x:c>
      <x:c r="F15" s="61" t="str">
        <x:v>Stopper supplier plus line-hold/agitation proposal</x:v>
      </x:c>
      <x:c r="G15" s="61" t="str">
        <x:v>Change scope, impact questions, actions, and decision governance</x:v>
      </x:c>
      <x:c r="H15" s="61" t="str">
        <x:v>No approved comparability, validation, regulatory, implementation, or shelf-life decision</x:v>
      </x:c>
      <x:c r="I15" s="61" t="str">
        <x:v>Multi-source support</x:v>
      </x:c>
      <x:c r="J15" s="61" t="str">
        <x:v>Change owner / Quality / Regulatory CMC</x:v>
      </x:c>
      <x:c r="K15" s="67" t="str">
        <x:f>IF(A15="","",IF(OR(B15="",C15="",D15="",E15="",F15="",G15="",H15="",I15="",J15=""),"Incomplete",IF(E15="Evidence required","Evidence required",IF(OR(I15="Hypothesis",I15="Observed association",I15="Contradictory or unresolved"),"Review required","Ready for qualified review"))))</x:f>
        <x:v>Ready for qualified review</x:v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7" t="str">
        <x:f>IF(A16="","",IF(OR(B16="",C16="",D16="",E16="",F16="",G16="",H16="",I16="",J16=""),"Incomplete",IF(E16="Evidence required","Evidence required",IF(OR(I16="Hypothesis",I16="Observed association",I16="Contradictory or unresolved"),"Review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7" t="str">
        <x:f>IF(A17="","",IF(OR(B17="",C17="",D17="",E17="",F17="",G17="",H17="",I17="",J17=""),"Incomplete",IF(E17="Evidence required","Evidence required",IF(OR(I17="Hypothesis",I17="Observed association",I17="Contradictory or unresolved"),"Review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7" t="str">
        <x:f>IF(A18="","",IF(OR(B18="",C18="",D18="",E18="",F18="",G18="",H18="",I18="",J18=""),"Incomplete",IF(E18="Evidence required","Evidence required",IF(OR(I18="Hypothesis",I18="Observed association",I18="Contradictory or unresolved"),"Review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7" t="str">
        <x:f>IF(A19="","",IF(OR(B19="",C19="",D19="",E19="",F19="",G19="",H19="",I19="",J19=""),"Incomplete",IF(E19="Evidence required","Evidence required",IF(OR(I19="Hypothesis",I19="Observed association",I19="Contradictory or unresolved"),"Review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7" t="str">
        <x:f>IF(A20="","",IF(OR(B20="",C20="",D20="",E20="",F20="",G20="",H20="",I20="",J20=""),"Incomplete",IF(E20="Evidence required","Evidence required",IF(OR(I20="Hypothesis",I20="Observed association",I20="Contradictory or unresolved"),"Review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7" t="str">
        <x:f>IF(A21="","",IF(OR(B21="",C21="",D21="",E21="",F21="",G21="",H21="",I21="",J21=""),"Incomplete",IF(E21="Evidence required","Evidence required",IF(OR(I21="Hypothesis",I21="Observed association",I21="Contradictory or unresolved"),"Review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7" t="str">
        <x:f>IF(A22="","",IF(OR(B22="",C22="",D22="",E22="",F22="",G22="",H22="",I22="",J22=""),"Incomplete",IF(E22="Evidence required","Evidence required",IF(OR(I22="Hypothesis",I22="Observed association",I22="Contradictory or unresolved"),"Review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7" t="str">
        <x:f>IF(A23="","",IF(OR(B23="",C23="",D23="",E23="",F23="",G23="",H23="",I23="",J23=""),"Incomplete",IF(E23="Evidence required","Evidence required",IF(OR(I23="Hypothesis",I23="Observed association",I23="Contradictory or unresolved"),"Review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7" t="str">
        <x:f>IF(A24="","",IF(OR(B24="",C24="",D24="",E24="",F24="",G24="",H24="",I24="",J24=""),"Incomplete",IF(E24="Evidence required","Evidence required",IF(OR(I24="Hypothesis",I24="Observed association",I24="Contradictory or unresolved"),"Review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7" t="str">
        <x:f>IF(A25="","",IF(OR(B25="",C25="",D25="",E25="",F25="",G25="",H25="",I25="",J25=""),"Incomplete",IF(E25="Evidence required","Evidence required",IF(OR(I25="Hypothesis",I25="Observed association",I25="Contradictory or unresolved"),"Review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7" t="str">
        <x:f>IF(A26="","",IF(OR(B26="",C26="",D26="",E26="",F26="",G26="",H26="",I26="",J26=""),"Incomplete",IF(E26="Evidence required","Evidence required",IF(OR(I26="Hypothesis",I26="Observed association",I26="Contradictory or unresolved"),"Review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7" t="str">
        <x:f>IF(A27="","",IF(OR(B27="",C27="",D27="",E27="",F27="",G27="",H27="",I27="",J27=""),"Incomplete",IF(E27="Evidence required","Evidence required",IF(OR(I27="Hypothesis",I27="Observed association",I27="Contradictory or unresolved"),"Review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7" t="str">
        <x:f>IF(A28="","",IF(OR(B28="",C28="",D28="",E28="",F28="",G28="",H28="",I28="",J28=""),"Incomplete",IF(E28="Evidence required","Evidence required",IF(OR(I28="Hypothesis",I28="Observed association",I28="Contradictory or unresolved"),"Review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7" t="str">
        <x:f>IF(A29="","",IF(OR(B29="",C29="",D29="",E29="",F29="",G29="",H29="",I29="",J29=""),"Incomplete",IF(E29="Evidence required","Evidence required",IF(OR(I29="Hypothesis",I29="Observed association",I29="Contradictory or unresolved"),"Review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7" t="str">
        <x:f>IF(A30="","",IF(OR(B30="",C30="",D30="",E30="",F30="",G30="",H30="",I30="",J30=""),"Incomplete",IF(E30="Evidence required","Evidence required",IF(OR(I30="Hypothesis",I30="Observed association",I30="Contradictory or unresolved"),"Review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7" t="str">
        <x:f>IF(A31="","",IF(OR(B31="",C31="",D31="",E31="",F31="",G31="",H31="",I31="",J31=""),"Incomplete",IF(E31="Evidence required","Evidence required",IF(OR(I31="Hypothesis",I31="Observed association",I31="Contradictory or unresolved"),"Review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7" t="str">
        <x:f>IF(A32="","",IF(OR(B32="",C32="",D32="",E32="",F32="",G32="",H32="",I32="",J32=""),"Incomplete",IF(E32="Evidence required","Evidence required",IF(OR(I32="Hypothesis",I32="Observed association",I32="Contradictory or unresolved"),"Review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7" t="str">
        <x:f>IF(A33="","",IF(OR(B33="",C33="",D33="",E33="",F33="",G33="",H33="",I33="",J33=""),"Incomplete",IF(E33="Evidence required","Evidence required",IF(OR(I33="Hypothesis",I33="Observed association",I33="Contradictory or unresolved"),"Review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7" t="str">
        <x:f>IF(A34="","",IF(OR(B34="",C34="",D34="",E34="",F34="",G34="",H34="",I34="",J34=""),"Incomplete",IF(E34="Evidence required","Evidence required",IF(OR(I34="Hypothesis",I34="Observed association",I34="Contradictory or unresolved"),"Review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7" t="str">
        <x:f>IF(A35="","",IF(OR(B35="",C35="",D35="",E35="",F35="",G35="",H35="",I35="",J35=""),"Incomplete",IF(E35="Evidence required","Evidence required",IF(OR(I35="Hypothesis",I35="Observed association",I35="Contradictory or unresolved"),"Review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7" t="str">
        <x:f>IF(A36="","",IF(OR(B36="",C36="",D36="",E36="",F36="",G36="",H36="",I36="",J36=""),"Incomplete",IF(E36="Evidence required","Evidence required",IF(OR(I36="Hypothesis",I36="Observed association",I36="Contradictory or unresolved"),"Review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7" t="str">
        <x:f>IF(A37="","",IF(OR(B37="",C37="",D37="",E37="",F37="",G37="",H37="",I37="",J37=""),"Incomplete",IF(E37="Evidence required","Evidence required",IF(OR(I37="Hypothesis",I37="Observed association",I37="Contradictory or unresolved"),"Review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7" t="str">
        <x:f>IF(A38="","",IF(OR(B38="",C38="",D38="",E38="",F38="",G38="",H38="",I38="",J38=""),"Incomplete",IF(E38="Evidence required","Evidence required",IF(OR(I38="Hypothesis",I38="Observed association",I38="Contradictory or unresolved"),"Review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7" t="str">
        <x:f>IF(A39="","",IF(OR(B39="",C39="",D39="",E39="",F39="",G39="",H39="",I39="",J39=""),"Incomplete",IF(E39="Evidence required","Evidence required",IF(OR(I39="Hypothesis",I39="Observed association",I39="Contradictory or unresolved"),"Review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7" t="str">
        <x:f>IF(A40="","",IF(OR(B40="",C40="",D40="",E40="",F40="",G40="",H40="",I40="",J40=""),"Incomplete",IF(E40="Evidence required","Evidence required",IF(OR(I40="Hypothesis",I40="Observed association",I40="Contradictory or unresolved"),"Review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7" t="str">
        <x:f>IF(A41="","",IF(OR(B41="",C41="",D41="",E41="",F41="",G41="",H41="",I41="",J41=""),"Incomplete",IF(E41="Evidence required","Evidence required",IF(OR(I41="Hypothesis",I41="Observed association",I41="Contradictory or unresolved"),"Review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7" t="str">
        <x:f>IF(A42="","",IF(OR(B42="",C42="",D42="",E42="",F42="",G42="",H42="",I42="",J42=""),"Incomplete",IF(E42="Evidence required","Evidence required",IF(OR(I42="Hypothesis",I42="Observed association",I42="Contradictory or unresolved"),"Review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7" t="str">
        <x:f>IF(A43="","",IF(OR(B43="",C43="",D43="",E43="",F43="",G43="",H43="",I43="",J43=""),"Incomplete",IF(E43="Evidence required","Evidence required",IF(OR(I43="Hypothesis",I43="Observed association",I43="Contradictory or unresolved"),"Review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7" t="str">
        <x:f>IF(A44="","",IF(OR(B44="",C44="",D44="",E44="",F44="",G44="",H44="",I44="",J44=""),"Incomplete",IF(E44="Evidence required","Evidence required",IF(OR(I44="Hypothesis",I44="Observed association",I44="Contradictory or unresolved"),"Review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7" t="str">
        <x:f>IF(A45="","",IF(OR(B45="",C45="",D45="",E45="",F45="",G45="",H45="",I45="",J45=""),"Incomplete",IF(E45="Evidence required","Evidence required",IF(OR(I45="Hypothesis",I45="Observed association",I45="Contradictory or unresolved"),"Review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7" t="str">
        <x:f>IF(A46="","",IF(OR(B46="",C46="",D46="",E46="",F46="",G46="",H46="",I46="",J46=""),"Incomplete",IF(E46="Evidence required","Evidence required",IF(OR(I46="Hypothesis",I46="Observed association",I46="Contradictory or unresolved"),"Review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7" t="str">
        <x:f>IF(A47="","",IF(OR(B47="",C47="",D47="",E47="",F47="",G47="",H47="",I47="",J47=""),"Incomplete",IF(E47="Evidence required","Evidence required",IF(OR(I47="Hypothesis",I47="Observed association",I47="Contradictory or unresolved"),"Review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7" t="str">
        <x:f>IF(A48="","",IF(OR(B48="",C48="",D48="",E48="",F48="",G48="",H48="",I48="",J48=""),"Incomplete",IF(E48="Evidence required","Evidence required",IF(OR(I48="Hypothesis",I48="Observed association",I48="Contradictory or unresolved"),"Review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7" t="str">
        <x:f>IF(A49="","",IF(OR(B49="",C49="",D49="",E49="",F49="",G49="",H49="",I49="",J49=""),"Incomplete",IF(E49="Evidence required","Evidence required",IF(OR(I49="Hypothesis",I49="Observed association",I49="Contradictory or unresolved"),"Review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7" t="str">
        <x:f>IF(A50="","",IF(OR(B50="",C50="",D50="",E50="",F50="",G50="",H50="",I50="",J50=""),"Incomplete",IF(E50="Evidence required","Evidence required",IF(OR(I50="Hypothesis",I50="Observed association",I50="Contradictory or unresolved"),"Review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7" t="str">
        <x:f>IF(A51="","",IF(OR(B51="",C51="",D51="",E51="",F51="",G51="",H51="",I51="",J51=""),"Incomplete",IF(E51="Evidence required","Evidence required",IF(OR(I51="Hypothesis",I51="Observed association",I51="Contradictory or unresolved"),"Review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7" t="str">
        <x:f>IF(A52="","",IF(OR(B52="",C52="",D52="",E52="",F52="",G52="",H52="",I52="",J52=""),"Incomplete",IF(E52="Evidence required","Evidence required",IF(OR(I52="Hypothesis",I52="Observed association",I52="Contradictory or unresolved"),"Review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7" t="str">
        <x:f>IF(A53="","",IF(OR(B53="",C53="",D53="",E53="",F53="",G53="",H53="",I53="",J53=""),"Incomplete",IF(E53="Evidence required","Evidence required",IF(OR(I53="Hypothesis",I53="Observed association",I53="Contradictory or unresolved"),"Review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7" t="str">
        <x:f>IF(A54="","",IF(OR(B54="",C54="",D54="",E54="",F54="",G54="",H54="",I54="",J54=""),"Incomplete",IF(E54="Evidence required","Evidence required",IF(OR(I54="Hypothesis",I54="Observed association",I54="Contradictory or unresolved"),"Review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7" t="str">
        <x:f>IF(A55="","",IF(OR(B55="",C55="",D55="",E55="",F55="",G55="",H55="",I55="",J55=""),"Incomplete",IF(E55="Evidence required","Evidence required",IF(OR(I55="Hypothesis",I55="Observed association",I55="Contradictory or unresolved"),"Review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7" t="str">
        <x:f>IF(A56="","",IF(OR(B56="",C56="",D56="",E56="",F56="",G56="",H56="",I56="",J56=""),"Incomplete",IF(E56="Evidence required","Evidence required",IF(OR(I56="Hypothesis",I56="Observed association",I56="Contradictory or unresolved"),"Review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7" t="str">
        <x:f>IF(A57="","",IF(OR(B57="",C57="",D57="",E57="",F57="",G57="",H57="",I57="",J57=""),"Incomplete",IF(E57="Evidence required","Evidence required",IF(OR(I57="Hypothesis",I57="Observed association",I57="Contradictory or unresolved"),"Review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7" t="str">
        <x:f>IF(A58="","",IF(OR(B58="",C58="",D58="",E58="",F58="",G58="",H58="",I58="",J58=""),"Incomplete",IF(E58="Evidence required","Evidence required",IF(OR(I58="Hypothesis",I58="Observed association",I58="Contradictory or unresolved"),"Review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7" t="str">
        <x:f>IF(A59="","",IF(OR(B59="",C59="",D59="",E59="",F59="",G59="",H59="",I59="",J59=""),"Incomplete",IF(E59="Evidence required","Evidence required",IF(OR(I59="Hypothesis",I59="Observed association",I59="Contradictory or unresolved"),"Review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7" t="str">
        <x:f>IF(A60="","",IF(OR(B60="",C60="",D60="",E60="",F60="",G60="",H60="",I60="",J60=""),"Incomplete",IF(E60="Evidence required","Evidence required",IF(OR(I60="Hypothesis",I60="Observed association",I60="Contradictory or unresolved"),"Review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7" t="str">
        <x:f>IF(A61="","",IF(OR(B61="",C61="",D61="",E61="",F61="",G61="",H61="",I61="",J61=""),"Incomplete",IF(E61="Evidence required","Evidence required",IF(OR(I61="Hypothesis",I61="Observed association",I61="Contradictory or unresolved"),"Review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7" t="str">
        <x:f>IF(A62="","",IF(OR(B62="",C62="",D62="",E62="",F62="",G62="",H62="",I62="",J62=""),"Incomplete",IF(E62="Evidence required","Evidence required",IF(OR(I62="Hypothesis",I62="Observed association",I62="Contradictory or unresolved"),"Review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7" t="str">
        <x:f>IF(A63="","",IF(OR(B63="",C63="",D63="",E63="",F63="",G63="",H63="",I63="",J63=""),"Incomplete",IF(E63="Evidence required","Evidence required",IF(OR(I63="Hypothesis",I63="Observed association",I63="Contradictory or unresolved"),"Review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7" t="str">
        <x:f>IF(A64="","",IF(OR(B64="",C64="",D64="",E64="",F64="",G64="",H64="",I64="",J64=""),"Incomplete",IF(E64="Evidence required","Evidence required",IF(OR(I64="Hypothesis",I64="Observed association",I64="Contradictory or unresolved"),"Review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7" t="str">
        <x:f>IF(A65="","",IF(OR(B65="",C65="",D65="",E65="",F65="",G65="",H65="",I65="",J65=""),"Incomplete",IF(E65="Evidence required","Evidence required",IF(OR(I65="Hypothesis",I65="Observed association",I65="Contradictory or unresolved"),"Review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7" t="str">
        <x:f>IF(A66="","",IF(OR(B66="",C66="",D66="",E66="",F66="",G66="",H66="",I66="",J66=""),"Incomplete",IF(E66="Evidence required","Evidence required",IF(OR(I66="Hypothesis",I66="Observed association",I66="Contradictory or unresolved"),"Review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7" t="str">
        <x:f>IF(A67="","",IF(OR(B67="",C67="",D67="",E67="",F67="",G67="",H67="",I67="",J67=""),"Incomplete",IF(E67="Evidence required","Evidence required",IF(OR(I67="Hypothesis",I67="Observed association",I67="Contradictory or unresolved"),"Review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7" t="str">
        <x:f>IF(A68="","",IF(OR(B68="",C68="",D68="",E68="",F68="",G68="",H68="",I68="",J68=""),"Incomplete",IF(E68="Evidence required","Evidence required",IF(OR(I68="Hypothesis",I68="Observed association",I68="Contradictory or unresolved"),"Review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7" t="str">
        <x:f>IF(A69="","",IF(OR(B69="",C69="",D69="",E69="",F69="",G69="",H69="",I69="",J69=""),"Incomplete",IF(E69="Evidence required","Evidence required",IF(OR(I69="Hypothesis",I69="Observed association",I69="Contradictory or unresolved"),"Review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7" t="str">
        <x:f>IF(A70="","",IF(OR(B70="",C70="",D70="",E70="",F70="",G70="",H70="",I70="",J70=""),"Incomplete",IF(E70="Evidence required","Evidence required",IF(OR(I70="Hypothesis",I70="Observed association",I70="Contradictory or unresolved"),"Review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7" t="str">
        <x:f>IF(A71="","",IF(OR(B71="",C71="",D71="",E71="",F71="",G71="",H71="",I71="",J71=""),"Incomplete",IF(E71="Evidence required","Evidence required",IF(OR(I71="Hypothesis",I71="Observed association",I71="Contradictory or unresolved"),"Review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7" t="str">
        <x:f>IF(A72="","",IF(OR(B72="",C72="",D72="",E72="",F72="",G72="",H72="",I72="",J72=""),"Incomplete",IF(E72="Evidence required","Evidence required",IF(OR(I72="Hypothesis",I72="Observed association",I72="Contradictory or unresolved"),"Review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7" t="str">
        <x:f>IF(A73="","",IF(OR(B73="",C73="",D73="",E73="",F73="",G73="",H73="",I73="",J73=""),"Incomplete",IF(E73="Evidence required","Evidence required",IF(OR(I73="Hypothesis",I73="Observed association",I73="Contradictory or unresolved"),"Review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7" t="str">
        <x:f>IF(A74="","",IF(OR(B74="",C74="",D74="",E74="",F74="",G74="",H74="",I74="",J74=""),"Incomplete",IF(E74="Evidence required","Evidence required",IF(OR(I74="Hypothesis",I74="Observed association",I74="Contradictory or unresolved"),"Review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7" t="str">
        <x:f>IF(A75="","",IF(OR(B75="",C75="",D75="",E75="",F75="",G75="",H75="",I75="",J75=""),"Incomplete",IF(E75="Evidence required","Evidence required",IF(OR(I75="Hypothesis",I75="Observed association",I75="Contradictory or unresolved"),"Review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7" t="str">
        <x:f>IF(A76="","",IF(OR(B76="",C76="",D76="",E76="",F76="",G76="",H76="",I76="",J76=""),"Incomplete",IF(E76="Evidence required","Evidence required",IF(OR(I76="Hypothesis",I76="Observed association",I76="Contradictory or unresolved"),"Review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7" t="str">
        <x:f>IF(A77="","",IF(OR(B77="",C77="",D77="",E77="",F77="",G77="",H77="",I77="",J77=""),"Incomplete",IF(E77="Evidence required","Evidence required",IF(OR(I77="Hypothesis",I77="Observed association",I77="Contradictory or unresolved"),"Review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7" t="str">
        <x:f>IF(A78="","",IF(OR(B78="",C78="",D78="",E78="",F78="",G78="",H78="",I78="",J78=""),"Incomplete",IF(E78="Evidence required","Evidence required",IF(OR(I78="Hypothesis",I78="Observed association",I78="Contradictory or unresolved"),"Review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7" t="str">
        <x:f>IF(A79="","",IF(OR(B79="",C79="",D79="",E79="",F79="",G79="",H79="",I79="",J79=""),"Incomplete",IF(E79="Evidence required","Evidence required",IF(OR(I79="Hypothesis",I79="Observed association",I79="Contradictory or unresolved"),"Review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7" t="str">
        <x:f>IF(A80="","",IF(OR(B80="",C80="",D80="",E80="",F80="",G80="",H80="",I80="",J80=""),"Incomplete",IF(E80="Evidence required","Evidence required",IF(OR(I80="Hypothesis",I80="Observed association",I80="Contradictory or unresolved"),"Review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7" t="str">
        <x:f>IF(A81="","",IF(OR(B81="",C81="",D81="",E81="",F81="",G81="",H81="",I81="",J81=""),"Incomplete",IF(E81="Evidence required","Evidence required",IF(OR(I81="Hypothesis",I81="Observed association",I81="Contradictory or unresolved"),"Review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7" t="str">
        <x:f>IF(A82="","",IF(OR(B82="",C82="",D82="",E82="",F82="",G82="",H82="",I82="",J82=""),"Incomplete",IF(E82="Evidence required","Evidence required",IF(OR(I82="Hypothesis",I82="Observed association",I82="Contradictory or unresolved"),"Review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7" t="str">
        <x:f>IF(A83="","",IF(OR(B83="",C83="",D83="",E83="",F83="",G83="",H83="",I83="",J83=""),"Incomplete",IF(E83="Evidence required","Evidence required",IF(OR(I83="Hypothesis",I83="Observed association",I83="Contradictory or unresolved"),"Review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7" t="str">
        <x:f>IF(A84="","",IF(OR(B84="",C84="",D84="",E84="",F84="",G84="",H84="",I84="",J84=""),"Incomplete",IF(E84="Evidence required","Evidence required",IF(OR(I84="Hypothesis",I84="Observed association",I84="Contradictory or unresolved"),"Review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7" t="str">
        <x:f>IF(A85="","",IF(OR(B85="",C85="",D85="",E85="",F85="",G85="",H85="",I85="",J85=""),"Incomplete",IF(E85="Evidence required","Evidence required",IF(OR(I85="Hypothesis",I85="Observed association",I85="Contradictory or unresolved"),"Review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7" t="str">
        <x:f>IF(A86="","",IF(OR(B86="",C86="",D86="",E86="",F86="",G86="",H86="",I86="",J86=""),"Incomplete",IF(E86="Evidence required","Evidence required",IF(OR(I86="Hypothesis",I86="Observed association",I86="Contradictory or unresolved"),"Review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7" t="str">
        <x:f>IF(A87="","",IF(OR(B87="",C87="",D87="",E87="",F87="",G87="",H87="",I87="",J87=""),"Incomplete",IF(E87="Evidence required","Evidence required",IF(OR(I87="Hypothesis",I87="Observed association",I87="Contradictory or unresolved"),"Review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7" t="str">
        <x:f>IF(A88="","",IF(OR(B88="",C88="",D88="",E88="",F88="",G88="",H88="",I88="",J88=""),"Incomplete",IF(E88="Evidence required","Evidence required",IF(OR(I88="Hypothesis",I88="Observed association",I88="Contradictory or unresolved"),"Review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7" t="str">
        <x:f>IF(A89="","",IF(OR(B89="",C89="",D89="",E89="",F89="",G89="",H89="",I89="",J89=""),"Incomplete",IF(E89="Evidence required","Evidence required",IF(OR(I89="Hypothesis",I89="Observed association",I89="Contradictory or unresolved"),"Review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7" t="str">
        <x:f>IF(A90="","",IF(OR(B90="",C90="",D90="",E90="",F90="",G90="",H90="",I90="",J90=""),"Incomplete",IF(E90="Evidence required","Evidence required",IF(OR(I90="Hypothesis",I90="Observed association",I90="Contradictory or unresolved"),"Review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7" t="str">
        <x:f>IF(A91="","",IF(OR(B91="",C91="",D91="",E91="",F91="",G91="",H91="",I91="",J91=""),"Incomplete",IF(E91="Evidence required","Evidence required",IF(OR(I91="Hypothesis",I91="Observed association",I91="Contradictory or unresolved"),"Review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7" t="str">
        <x:f>IF(A92="","",IF(OR(B92="",C92="",D92="",E92="",F92="",G92="",H92="",I92="",J92=""),"Incomplete",IF(E92="Evidence required","Evidence required",IF(OR(I92="Hypothesis",I92="Observed association",I92="Contradictory or unresolved"),"Review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7" t="str">
        <x:f>IF(A93="","",IF(OR(B93="",C93="",D93="",E93="",F93="",G93="",H93="",I93="",J93=""),"Incomplete",IF(E93="Evidence required","Evidence required",IF(OR(I93="Hypothesis",I93="Observed association",I93="Contradictory or unresolved"),"Review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7" t="str">
        <x:f>IF(A94="","",IF(OR(B94="",C94="",D94="",E94="",F94="",G94="",H94="",I94="",J94=""),"Incomplete",IF(E94="Evidence required","Evidence required",IF(OR(I94="Hypothesis",I94="Observed association",I94="Contradictory or unresolved"),"Review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7" t="str">
        <x:f>IF(A95="","",IF(OR(B95="",C95="",D95="",E95="",F95="",G95="",H95="",I95="",J95=""),"Incomplete",IF(E95="Evidence required","Evidence required",IF(OR(I95="Hypothesis",I95="Observed association",I95="Contradictory or unresolved"),"Review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7" t="str">
        <x:f>IF(A96="","",IF(OR(B96="",C96="",D96="",E96="",F96="",G96="",H96="",I96="",J96=""),"Incomplete",IF(E96="Evidence required","Evidence required",IF(OR(I96="Hypothesis",I96="Observed association",I96="Contradictory or unresolved"),"Review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7" t="str">
        <x:f>IF(A97="","",IF(OR(B97="",C97="",D97="",E97="",F97="",G97="",H97="",I97="",J97=""),"Incomplete",IF(E97="Evidence required","Evidence required",IF(OR(I97="Hypothesis",I97="Observed association",I97="Contradictory or unresolved"),"Review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7" t="str">
        <x:f>IF(A98="","",IF(OR(B98="",C98="",D98="",E98="",F98="",G98="",H98="",I98="",J98=""),"Incomplete",IF(E98="Evidence required","Evidence required",IF(OR(I98="Hypothesis",I98="Observed association",I98="Contradictory or unresolved"),"Review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7" t="str">
        <x:f>IF(A99="","",IF(OR(B99="",C99="",D99="",E99="",F99="",G99="",H99="",I99="",J99=""),"Incomplete",IF(E99="Evidence required","Evidence required",IF(OR(I99="Hypothesis",I99="Observed association",I99="Contradictory or unresolved"),"Review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7" t="str">
        <x:f>IF(A100="","",IF(OR(B100="",C100="",D100="",E100="",F100="",G100="",H100="",I100="",J100=""),"Incomplete",IF(E100="Evidence required","Evidence required",IF(OR(I100="Hypothesis",I100="Observed association",I100="Contradictory or unresolved"),"Review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7" t="str">
        <x:f>IF(A101="","",IF(OR(B101="",C101="",D101="",E101="",F101="",G101="",H101="",I101="",J101=""),"Incomplete",IF(E101="Evidence required","Evidence required",IF(OR(I101="Hypothesis",I101="Observed association",I101="Contradictory or unresolved"),"Review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7" t="str">
        <x:f>IF(A102="","",IF(OR(B102="",C102="",D102="",E102="",F102="",G102="",H102="",I102="",J102=""),"Incomplete",IF(E102="Evidence required","Evidence required",IF(OR(I102="Hypothesis",I102="Observed association",I102="Contradictory or unresolved"),"Review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7" t="str">
        <x:f>IF(A103="","",IF(OR(B103="",C103="",D103="",E103="",F103="",G103="",H103="",I103="",J103=""),"Incomplete",IF(E103="Evidence required","Evidence required",IF(OR(I103="Hypothesis",I103="Observed association",I103="Contradictory or unresolved"),"Review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7" t="str">
        <x:f>IF(A104="","",IF(OR(B104="",C104="",D104="",E104="",F104="",G104="",H104="",I104="",J104=""),"Incomplete",IF(E104="Evidence required","Evidence required",IF(OR(I104="Hypothesis",I104="Observed association",I104="Contradictory or unresolved"),"Review required","Ready for qualified review"))))</x:f>
      </x:c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7" t="str">
        <x:f>IF(A105="","",IF(OR(B105="",C105="",D105="",E105="",F105="",G105="",H105="",I105="",J105=""),"Incomplete",IF(E105="Evidence required","Evidence required",IF(OR(I105="Hypothesis",I105="Observed association",I105="Contradictory or unresolved"),"Review required","Ready for qualified review"))))</x:f>
      </x:c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7" t="str">
        <x:f>IF(A106="","",IF(OR(B106="",C106="",D106="",E106="",F106="",G106="",H106="",I106="",J106=""),"Incomplete",IF(E106="Evidence required","Evidence required",IF(OR(I106="Hypothesis",I106="Observed association",I106="Contradictory or unresolved"),"Review required","Ready for qualified review"))))</x:f>
      </x:c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7" t="str">
        <x:f>IF(A107="","",IF(OR(B107="",C107="",D107="",E107="",F107="",G107="",H107="",I107="",J107=""),"Incomplete",IF(E107="Evidence required","Evidence required",IF(OR(I107="Hypothesis",I107="Observed association",I107="Contradictory or unresolved"),"Review required","Ready for qualified review"))))</x:f>
      </x:c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7" t="str">
        <x:f>IF(A108="","",IF(OR(B108="",C108="",D108="",E108="",F108="",G108="",H108="",I108="",J108=""),"Incomplete",IF(E108="Evidence required","Evidence required",IF(OR(I108="Hypothesis",I108="Observed association",I108="Contradictory or unresolved"),"Review required","Ready for qualified review"))))</x:f>
      </x:c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7" t="str">
        <x:f>IF(A109="","",IF(OR(B109="",C109="",D109="",E109="",F109="",G109="",H109="",I109="",J109=""),"Incomplete",IF(E109="Evidence required","Evidence required",IF(OR(I109="Hypothesis",I109="Observed association",I109="Contradictory or unresolved"),"Review required","Ready for qualified review"))))</x:f>
      </x:c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7" t="str">
        <x:f>IF(A110="","",IF(OR(B110="",C110="",D110="",E110="",F110="",G110="",H110="",I110="",J110=""),"Incomplete",IF(E110="Evidence required","Evidence required",IF(OR(I110="Hypothesis",I110="Observed association",I110="Contradictory or unresolved"),"Review required","Ready for qualified review"))))</x:f>
      </x:c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7" t="str">
        <x:f>IF(A111="","",IF(OR(B111="",C111="",D111="",E111="",F111="",G111="",H111="",I111="",J111=""),"Incomplete",IF(E111="Evidence required","Evidence required",IF(OR(I111="Hypothesis",I111="Observed association",I111="Contradictory or unresolved"),"Review required","Ready for qualified review"))))</x:f>
      </x:c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7" t="str">
        <x:f>IF(A112="","",IF(OR(B112="",C112="",D112="",E112="",F112="",G112="",H112="",I112="",J112=""),"Incomplete",IF(E112="Evidence required","Evidence required",IF(OR(I112="Hypothesis",I112="Observed association",I112="Contradictory or unresolved"),"Review required","Ready for qualified review"))))</x:f>
      </x:c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7" t="str">
        <x:f>IF(A113="","",IF(OR(B113="",C113="",D113="",E113="",F113="",G113="",H113="",I113="",J113=""),"Incomplete",IF(E113="Evidence required","Evidence required",IF(OR(I113="Hypothesis",I113="Observed association",I113="Contradictory or unresolved"),"Review required","Ready for qualified review"))))</x:f>
      </x:c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7" t="str">
        <x:f>IF(A114="","",IF(OR(B114="",C114="",D114="",E114="",F114="",G114="",H114="",I114="",J114=""),"Incomplete",IF(E114="Evidence required","Evidence required",IF(OR(I114="Hypothesis",I114="Observed association",I114="Contradictory or unresolved"),"Review required","Ready for qualified review"))))</x:f>
      </x:c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7" t="str">
        <x:f>IF(A115="","",IF(OR(B115="",C115="",D115="",E115="",F115="",G115="",H115="",I115="",J115=""),"Incomplete",IF(E115="Evidence required","Evidence required",IF(OR(I115="Hypothesis",I115="Observed association",I115="Contradictory or unresolved"),"Review required","Ready for qualified review"))))</x:f>
      </x:c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7" t="str">
        <x:f>IF(A116="","",IF(OR(B116="",C116="",D116="",E116="",F116="",G116="",H116="",I116="",J116=""),"Incomplete",IF(E116="Evidence required","Evidence required",IF(OR(I116="Hypothesis",I116="Observed association",I116="Contradictory or unresolved"),"Review required","Ready for qualified review"))))</x:f>
      </x:c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7" t="str">
        <x:f>IF(A117="","",IF(OR(B117="",C117="",D117="",E117="",F117="",G117="",H117="",I117="",J117=""),"Incomplete",IF(E117="Evidence required","Evidence required",IF(OR(I117="Hypothesis",I117="Observed association",I117="Contradictory or unresolved"),"Review required","Ready for qualified review"))))</x:f>
      </x:c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7" t="str">
        <x:f>IF(A118="","",IF(OR(B118="",C118="",D118="",E118="",F118="",G118="",H118="",I118="",J118=""),"Incomplete",IF(E118="Evidence required","Evidence required",IF(OR(I118="Hypothesis",I118="Observed association",I118="Contradictory or unresolved"),"Review required","Ready for qualified review"))))</x:f>
      </x:c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7" t="str">
        <x:f>IF(A119="","",IF(OR(B119="",C119="",D119="",E119="",F119="",G119="",H119="",I119="",J119=""),"Incomplete",IF(E119="Evidence required","Evidence required",IF(OR(I119="Hypothesis",I119="Observed association",I119="Contradictory or unresolved"),"Review required","Ready for qualified review"))))</x:f>
      </x:c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7" t="str">
        <x:f>IF(A120="","",IF(OR(B120="",C120="",D120="",E120="",F120="",G120="",H120="",I120="",J120=""),"Incomplete",IF(E120="Evidence required","Evidence required",IF(OR(I120="Hypothesis",I120="Observed association",I120="Contradictory or unresolved"),"Review required","Ready for qualified review"))))</x:f>
      </x:c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7" t="str">
        <x:f>IF(A121="","",IF(OR(B121="",C121="",D121="",E121="",F121="",G121="",H121="",I121="",J121=""),"Incomplete",IF(E121="Evidence required","Evidence required",IF(OR(I121="Hypothesis",I121="Observed association",I121="Contradictory or unresolved"),"Review required","Ready for qualified review"))))</x:f>
      </x:c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7" t="str">
        <x:f>IF(A122="","",IF(OR(B122="",C122="",D122="",E122="",F122="",G122="",H122="",I122="",J122=""),"Incomplete",IF(E122="Evidence required","Evidence required",IF(OR(I122="Hypothesis",I122="Observed association",I122="Contradictory or unresolved"),"Review required","Ready for qualified review"))))</x:f>
      </x:c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7" t="str">
        <x:f>IF(A123="","",IF(OR(B123="",C123="",D123="",E123="",F123="",G123="",H123="",I123="",J123=""),"Incomplete",IF(E123="Evidence required","Evidence required",IF(OR(I123="Hypothesis",I123="Observed association",I123="Contradictory or unresolved"),"Review required","Ready for qualified review"))))</x:f>
      </x:c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7" t="str">
        <x:f>IF(A124="","",IF(OR(B124="",C124="",D124="",E124="",F124="",G124="",H124="",I124="",J124=""),"Incomplete",IF(E124="Evidence required","Evidence required",IF(OR(I124="Hypothesis",I124="Observed association",I124="Contradictory or unresolved"),"Review required","Ready for qualified review"))))</x:f>
      </x:c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7" t="str">
        <x:f>IF(A125="","",IF(OR(B125="",C125="",D125="",E125="",F125="",G125="",H125="",I125="",J125=""),"Incomplete",IF(E125="Evidence required","Evidence required",IF(OR(I125="Hypothesis",I125="Observed association",I125="Contradictory or unresolved"),"Review required","Ready for qualified review"))))</x:f>
      </x:c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7" t="str">
        <x:f>IF(A126="","",IF(OR(B126="",C126="",D126="",E126="",F126="",G126="",H126="",I126="",J126=""),"Incomplete",IF(E126="Evidence required","Evidence required",IF(OR(I126="Hypothesis",I126="Observed association",I126="Contradictory or unresolved"),"Review required","Ready for qualified review"))))</x:f>
      </x:c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7" t="str">
        <x:f>IF(A127="","",IF(OR(B127="",C127="",D127="",E127="",F127="",G127="",H127="",I127="",J127=""),"Incomplete",IF(E127="Evidence required","Evidence required",IF(OR(I127="Hypothesis",I127="Observed association",I127="Contradictory or unresolved"),"Review required","Ready for qualified review"))))</x:f>
      </x:c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7" t="str">
        <x:f>IF(A128="","",IF(OR(B128="",C128="",D128="",E128="",F128="",G128="",H128="",I128="",J128=""),"Incomplete",IF(E128="Evidence required","Evidence required",IF(OR(I128="Hypothesis",I128="Observed association",I128="Contradictory or unresolved"),"Review required","Ready for qualified review"))))</x:f>
      </x:c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7" t="str">
        <x:f>IF(A129="","",IF(OR(B129="",C129="",D129="",E129="",F129="",G129="",H129="",I129="",J129=""),"Incomplete",IF(E129="Evidence required","Evidence required",IF(OR(I129="Hypothesis",I129="Observed association",I129="Contradictory or unresolved"),"Review required","Ready for qualified review"))))</x:f>
      </x:c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7" t="str">
        <x:f>IF(A130="","",IF(OR(B130="",C130="",D130="",E130="",F130="",G130="",H130="",I130="",J130=""),"Incomplete",IF(E130="Evidence required","Evidence required",IF(OR(I130="Hypothesis",I130="Observed association",I130="Contradictory or unresolved"),"Review required","Ready for qualified review"))))</x:f>
      </x:c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7" t="str">
        <x:f>IF(A131="","",IF(OR(B131="",C131="",D131="",E131="",F131="",G131="",H131="",I131="",J131=""),"Incomplete",IF(E131="Evidence required","Evidence required",IF(OR(I131="Hypothesis",I131="Observed association",I131="Contradictory or unresolved"),"Review required","Ready for qualified review"))))</x:f>
      </x:c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7" t="str">
        <x:f>IF(A132="","",IF(OR(B132="",C132="",D132="",E132="",F132="",G132="",H132="",I132="",J132=""),"Incomplete",IF(E132="Evidence required","Evidence required",IF(OR(I132="Hypothesis",I132="Observed association",I132="Contradictory or unresolved"),"Review required","Ready for qualified review"))))</x:f>
      </x:c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7" t="str">
        <x:f>IF(A133="","",IF(OR(B133="",C133="",D133="",E133="",F133="",G133="",H133="",I133="",J133=""),"Incomplete",IF(E133="Evidence required","Evidence required",IF(OR(I133="Hypothesis",I133="Observed association",I133="Contradictory or unresolved"),"Review required","Ready for qualified review"))))</x:f>
      </x:c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7" t="str">
        <x:f>IF(A134="","",IF(OR(B134="",C134="",D134="",E134="",F134="",G134="",H134="",I134="",J134=""),"Incomplete",IF(E134="Evidence required","Evidence required",IF(OR(I134="Hypothesis",I134="Observed association",I134="Contradictory or unresolved"),"Review required","Ready for qualified review"))))</x:f>
      </x:c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7" t="str">
        <x:f>IF(A135="","",IF(OR(B135="",C135="",D135="",E135="",F135="",G135="",H135="",I135="",J135=""),"Incomplete",IF(E135="Evidence required","Evidence required",IF(OR(I135="Hypothesis",I135="Observed association",I135="Contradictory or unresolved"),"Review required","Ready for qualified review"))))</x:f>
      </x:c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7" t="str">
        <x:f>IF(A136="","",IF(OR(B136="",C136="",D136="",E136="",F136="",G136="",H136="",I136="",J136=""),"Incomplete",IF(E136="Evidence required","Evidence required",IF(OR(I136="Hypothesis",I136="Observed association",I136="Contradictory or unresolved"),"Review required","Ready for qualified review"))))</x:f>
      </x:c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7" t="str">
        <x:f>IF(A137="","",IF(OR(B137="",C137="",D137="",E137="",F137="",G137="",H137="",I137="",J137=""),"Incomplete",IF(E137="Evidence required","Evidence required",IF(OR(I137="Hypothesis",I137="Observed association",I137="Contradictory or unresolved"),"Review required","Ready for qualified review"))))</x:f>
      </x:c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7" t="str">
        <x:f>IF(A138="","",IF(OR(B138="",C138="",D138="",E138="",F138="",G138="",H138="",I138="",J138=""),"Incomplete",IF(E138="Evidence required","Evidence required",IF(OR(I138="Hypothesis",I138="Observed association",I138="Contradictory or unresolved"),"Review required","Ready for qualified review"))))</x:f>
      </x:c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7" t="str">
        <x:f>IF(A139="","",IF(OR(B139="",C139="",D139="",E139="",F139="",G139="",H139="",I139="",J139=""),"Incomplete",IF(E139="Evidence required","Evidence required",IF(OR(I139="Hypothesis",I139="Observed association",I139="Contradictory or unresolved"),"Review required","Ready for qualified review"))))</x:f>
      </x:c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7" t="str">
        <x:f>IF(A140="","",IF(OR(B140="",C140="",D140="",E140="",F140="",G140="",H140="",I140="",J140=""),"Incomplete",IF(E140="Evidence required","Evidence required",IF(OR(I140="Hypothesis",I140="Observed association",I140="Contradictory or unresolved"),"Review required","Ready for qualified review"))))</x:f>
      </x:c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7" t="str">
        <x:f>IF(A141="","",IF(OR(B141="",C141="",D141="",E141="",F141="",G141="",H141="",I141="",J141=""),"Incomplete",IF(E141="Evidence required","Evidence required",IF(OR(I141="Hypothesis",I141="Observed association",I141="Contradictory or unresolved"),"Review required","Ready for qualified review"))))</x:f>
      </x:c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7" t="str">
        <x:f>IF(A142="","",IF(OR(B142="",C142="",D142="",E142="",F142="",G142="",H142="",I142="",J142=""),"Incomplete",IF(E142="Evidence required","Evidence required",IF(OR(I142="Hypothesis",I142="Observed association",I142="Contradictory or unresolved"),"Review required","Ready for qualified review"))))</x:f>
      </x:c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7" t="str">
        <x:f>IF(A143="","",IF(OR(B143="",C143="",D143="",E143="",F143="",G143="",H143="",I143="",J143=""),"Incomplete",IF(E143="Evidence required","Evidence required",IF(OR(I143="Hypothesis",I143="Observed association",I143="Contradictory or unresolved"),"Review required","Ready for qualified review"))))</x:f>
      </x:c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7" t="str">
        <x:f>IF(A144="","",IF(OR(B144="",C144="",D144="",E144="",F144="",G144="",H144="",I144="",J144=""),"Incomplete",IF(E144="Evidence required","Evidence required",IF(OR(I144="Hypothesis",I144="Observed association",I144="Contradictory or unresolved"),"Review required","Ready for qualified review"))))</x:f>
      </x:c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7" t="str">
        <x:f>IF(A145="","",IF(OR(B145="",C145="",D145="",E145="",F145="",G145="",H145="",I145="",J145=""),"Incomplete",IF(E145="Evidence required","Evidence required",IF(OR(I145="Hypothesis",I145="Observed association",I145="Contradictory or unresolved"),"Review required","Ready for qualified review"))))</x:f>
      </x:c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7" t="str">
        <x:f>IF(A146="","",IF(OR(B146="",C146="",D146="",E146="",F146="",G146="",H146="",I146="",J146=""),"Incomplete",IF(E146="Evidence required","Evidence required",IF(OR(I146="Hypothesis",I146="Observed association",I146="Contradictory or unresolved"),"Review required","Ready for qualified review"))))</x:f>
      </x:c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7" t="str">
        <x:f>IF(A147="","",IF(OR(B147="",C147="",D147="",E147="",F147="",G147="",H147="",I147="",J147=""),"Incomplete",IF(E147="Evidence required","Evidence required",IF(OR(I147="Hypothesis",I147="Observed association",I147="Contradictory or unresolved"),"Review required","Ready for qualified review"))))</x:f>
      </x:c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7" t="str">
        <x:f>IF(A148="","",IF(OR(B148="",C148="",D148="",E148="",F148="",G148="",H148="",I148="",J148=""),"Incomplete",IF(E148="Evidence required","Evidence required",IF(OR(I148="Hypothesis",I148="Observed association",I148="Contradictory or unresolved"),"Review required","Ready for qualified review"))))</x:f>
      </x:c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7" t="str">
        <x:f>IF(A149="","",IF(OR(B149="",C149="",D149="",E149="",F149="",G149="",H149="",I149="",J149=""),"Incomplete",IF(E149="Evidence required","Evidence required",IF(OR(I149="Hypothesis",I149="Observed association",I149="Contradictory or unresolved"),"Review required","Ready for qualified review"))))</x:f>
      </x:c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7" t="str">
        <x:f>IF(A150="","",IF(OR(B150="",C150="",D150="",E150="",F150="",G150="",H150="",I150="",J150=""),"Incomplete",IF(E150="Evidence required","Evidence required",IF(OR(I150="Hypothesis",I150="Observed association",I150="Contradictory or unresolved"),"Review required","Ready for qualified review"))))</x:f>
      </x:c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7" t="str">
        <x:f>IF(A151="","",IF(OR(B151="",C151="",D151="",E151="",F151="",G151="",H151="",I151="",J151=""),"Incomplete",IF(E151="Evidence required","Evidence required",IF(OR(I151="Hypothesis",I151="Observed association",I151="Contradictory or unresolved"),"Review required","Ready for qualified review"))))</x:f>
      </x:c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7" t="str">
        <x:f>IF(A152="","",IF(OR(B152="",C152="",D152="",E152="",F152="",G152="",H152="",I152="",J152=""),"Incomplete",IF(E152="Evidence required","Evidence required",IF(OR(I152="Hypothesis",I152="Observed association",I152="Contradictory or unresolved"),"Review required","Ready for qualified review"))))</x:f>
      </x:c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7" t="str">
        <x:f>IF(A153="","",IF(OR(B153="",C153="",D153="",E153="",F153="",G153="",H153="",I153="",J153=""),"Incomplete",IF(E153="Evidence required","Evidence required",IF(OR(I153="Hypothesis",I153="Observed association",I153="Contradictory or unresolved"),"Review required","Ready for qualified review"))))</x:f>
      </x:c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7" t="str">
        <x:f>IF(A154="","",IF(OR(B154="",C154="",D154="",E154="",F154="",G154="",H154="",I154="",J154=""),"Incomplete",IF(E154="Evidence required","Evidence required",IF(OR(I154="Hypothesis",I154="Observed association",I154="Contradictory or unresolved"),"Review required","Ready for qualified review"))))</x:f>
      </x:c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7" t="str">
        <x:f>IF(A155="","",IF(OR(B155="",C155="",D155="",E155="",F155="",G155="",H155="",I155="",J155=""),"Incomplete",IF(E155="Evidence required","Evidence required",IF(OR(I155="Hypothesis",I155="Observed association",I155="Contradictory or unresolved"),"Review required","Ready for qualified review"))))</x:f>
      </x:c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7" t="str">
        <x:f>IF(A156="","",IF(OR(B156="",C156="",D156="",E156="",F156="",G156="",H156="",I156="",J156=""),"Incomplete",IF(E156="Evidence required","Evidence required",IF(OR(I156="Hypothesis",I156="Observed association",I156="Contradictory or unresolved"),"Review required","Ready for qualified review"))))</x:f>
      </x:c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7" t="str">
        <x:f>IF(A157="","",IF(OR(B157="",C157="",D157="",E157="",F157="",G157="",H157="",I157="",J157=""),"Incomplete",IF(E157="Evidence required","Evidence required",IF(OR(I157="Hypothesis",I157="Observed association",I157="Contradictory or unresolved"),"Review required","Ready for qualified review"))))</x:f>
      </x:c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7" t="str">
        <x:f>IF(A158="","",IF(OR(B158="",C158="",D158="",E158="",F158="",G158="",H158="",I158="",J158=""),"Incomplete",IF(E158="Evidence required","Evidence required",IF(OR(I158="Hypothesis",I158="Observed association",I158="Contradictory or unresolved"),"Review required","Ready for qualified review"))))</x:f>
      </x:c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7" t="str">
        <x:f>IF(A159="","",IF(OR(B159="",C159="",D159="",E159="",F159="",G159="",H159="",I159="",J159=""),"Incomplete",IF(E159="Evidence required","Evidence required",IF(OR(I159="Hypothesis",I159="Observed association",I159="Contradictory or unresolved"),"Review required","Ready for qualified review"))))</x:f>
      </x:c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7" t="str">
        <x:f>IF(A160="","",IF(OR(B160="",C160="",D160="",E160="",F160="",G160="",H160="",I160="",J160=""),"Incomplete",IF(E160="Evidence required","Evidence required",IF(OR(I160="Hypothesis",I160="Observed association",I160="Contradictory or unresolved"),"Review required","Ready for qualified review"))))</x:f>
      </x:c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7" t="str">
        <x:f>IF(A161="","",IF(OR(B161="",C161="",D161="",E161="",F161="",G161="",H161="",I161="",J161=""),"Incomplete",IF(E161="Evidence required","Evidence required",IF(OR(I161="Hypothesis",I161="Observed association",I161="Contradictory or unresolved"),"Review required","Ready for qualified review"))))</x:f>
      </x:c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7" t="str">
        <x:f>IF(A162="","",IF(OR(B162="",C162="",D162="",E162="",F162="",G162="",H162="",I162="",J162=""),"Incomplete",IF(E162="Evidence required","Evidence required",IF(OR(I162="Hypothesis",I162="Observed association",I162="Contradictory or unresolved"),"Review required","Ready for qualified review"))))</x:f>
      </x:c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7" t="str">
        <x:f>IF(A163="","",IF(OR(B163="",C163="",D163="",E163="",F163="",G163="",H163="",I163="",J163=""),"Incomplete",IF(E163="Evidence required","Evidence required",IF(OR(I163="Hypothesis",I163="Observed association",I163="Contradictory or unresolved"),"Review required","Ready for qualified review"))))</x:f>
      </x:c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7" t="str">
        <x:f>IF(A164="","",IF(OR(B164="",C164="",D164="",E164="",F164="",G164="",H164="",I164="",J164=""),"Incomplete",IF(E164="Evidence required","Evidence required",IF(OR(I164="Hypothesis",I164="Observed association",I164="Contradictory or unresolved"),"Review required","Ready for qualified review"))))</x:f>
      </x:c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7" t="str">
        <x:f>IF(A165="","",IF(OR(B165="",C165="",D165="",E165="",F165="",G165="",H165="",I165="",J165=""),"Incomplete",IF(E165="Evidence required","Evidence required",IF(OR(I165="Hypothesis",I165="Observed association",I165="Contradictory or unresolved"),"Review required","Ready for qualified review"))))</x:f>
      </x:c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7" t="str">
        <x:f>IF(A166="","",IF(OR(B166="",C166="",D166="",E166="",F166="",G166="",H166="",I166="",J166=""),"Incomplete",IF(E166="Evidence required","Evidence required",IF(OR(I166="Hypothesis",I166="Observed association",I166="Contradictory or unresolved"),"Review required","Ready for qualified review"))))</x:f>
      </x:c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7" t="str">
        <x:f>IF(A167="","",IF(OR(B167="",C167="",D167="",E167="",F167="",G167="",H167="",I167="",J167=""),"Incomplete",IF(E167="Evidence required","Evidence required",IF(OR(I167="Hypothesis",I167="Observed association",I167="Contradictory or unresolved"),"Review required","Ready for qualified review"))))</x:f>
      </x:c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7" t="str">
        <x:f>IF(A168="","",IF(OR(B168="",C168="",D168="",E168="",F168="",G168="",H168="",I168="",J168=""),"Incomplete",IF(E168="Evidence required","Evidence required",IF(OR(I168="Hypothesis",I168="Observed association",I168="Contradictory or unresolved"),"Review required","Ready for qualified review"))))</x:f>
      </x:c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7" t="str">
        <x:f>IF(A169="","",IF(OR(B169="",C169="",D169="",E169="",F169="",G169="",H169="",I169="",J169=""),"Incomplete",IF(E169="Evidence required","Evidence required",IF(OR(I169="Hypothesis",I169="Observed association",I169="Contradictory or unresolved"),"Review required","Ready for qualified review"))))</x:f>
      </x:c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7" t="str">
        <x:f>IF(A170="","",IF(OR(B170="",C170="",D170="",E170="",F170="",G170="",H170="",I170="",J170=""),"Incomplete",IF(E170="Evidence required","Evidence required",IF(OR(I170="Hypothesis",I170="Observed association",I170="Contradictory or unresolved"),"Review required","Ready for qualified review"))))</x:f>
      </x:c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7" t="str">
        <x:f>IF(A171="","",IF(OR(B171="",C171="",D171="",E171="",F171="",G171="",H171="",I171="",J171=""),"Incomplete",IF(E171="Evidence required","Evidence required",IF(OR(I171="Hypothesis",I171="Observed association",I171="Contradictory or unresolved"),"Review required","Ready for qualified review"))))</x:f>
      </x:c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7" t="str">
        <x:f>IF(A172="","",IF(OR(B172="",C172="",D172="",E172="",F172="",G172="",H172="",I172="",J172=""),"Incomplete",IF(E172="Evidence required","Evidence required",IF(OR(I172="Hypothesis",I172="Observed association",I172="Contradictory or unresolved"),"Review required","Ready for qualified review"))))</x:f>
      </x:c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7" t="str">
        <x:f>IF(A173="","",IF(OR(B173="",C173="",D173="",E173="",F173="",G173="",H173="",I173="",J173=""),"Incomplete",IF(E173="Evidence required","Evidence required",IF(OR(I173="Hypothesis",I173="Observed association",I173="Contradictory or unresolved"),"Review required","Ready for qualified review"))))</x:f>
      </x:c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7" t="str">
        <x:f>IF(A174="","",IF(OR(B174="",C174="",D174="",E174="",F174="",G174="",H174="",I174="",J174=""),"Incomplete",IF(E174="Evidence required","Evidence required",IF(OR(I174="Hypothesis",I174="Observed association",I174="Contradictory or unresolved"),"Review required","Ready for qualified review"))))</x:f>
      </x:c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7" t="str">
        <x:f>IF(A175="","",IF(OR(B175="",C175="",D175="",E175="",F175="",G175="",H175="",I175="",J175=""),"Incomplete",IF(E175="Evidence required","Evidence required",IF(OR(I175="Hypothesis",I175="Observed association",I175="Contradictory or unresolved"),"Review required","Ready for qualified review"))))</x:f>
      </x:c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7" t="str">
        <x:f>IF(A176="","",IF(OR(B176="",C176="",D176="",E176="",F176="",G176="",H176="",I176="",J176=""),"Incomplete",IF(E176="Evidence required","Evidence required",IF(OR(I176="Hypothesis",I176="Observed association",I176="Contradictory or unresolved"),"Review required","Ready for qualified review"))))</x:f>
      </x:c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7" t="str">
        <x:f>IF(A177="","",IF(OR(B177="",C177="",D177="",E177="",F177="",G177="",H177="",I177="",J177=""),"Incomplete",IF(E177="Evidence required","Evidence required",IF(OR(I177="Hypothesis",I177="Observed association",I177="Contradictory or unresolved"),"Review required","Ready for qualified review"))))</x:f>
      </x:c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7" t="str">
        <x:f>IF(A178="","",IF(OR(B178="",C178="",D178="",E178="",F178="",G178="",H178="",I178="",J178=""),"Incomplete",IF(E178="Evidence required","Evidence required",IF(OR(I178="Hypothesis",I178="Observed association",I178="Contradictory or unresolved"),"Review required","Ready for qualified review"))))</x:f>
      </x:c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7" t="str">
        <x:f>IF(A179="","",IF(OR(B179="",C179="",D179="",E179="",F179="",G179="",H179="",I179="",J179=""),"Incomplete",IF(E179="Evidence required","Evidence required",IF(OR(I179="Hypothesis",I179="Observed association",I179="Contradictory or unresolved"),"Review required","Ready for qualified review"))))</x:f>
      </x:c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7" t="str">
        <x:f>IF(A180="","",IF(OR(B180="",C180="",D180="",E180="",F180="",G180="",H180="",I180="",J180=""),"Incomplete",IF(E180="Evidence required","Evidence required",IF(OR(I180="Hypothesis",I180="Observed association",I180="Contradictory or unresolved"),"Review required","Ready for qualified review"))))</x:f>
      </x:c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7" t="str">
        <x:f>IF(A181="","",IF(OR(B181="",C181="",D181="",E181="",F181="",G181="",H181="",I181="",J181=""),"Incomplete",IF(E181="Evidence required","Evidence required",IF(OR(I181="Hypothesis",I181="Observed association",I181="Contradictory or unresolved"),"Review required","Ready for qualified review"))))</x:f>
      </x:c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7" t="str">
        <x:f>IF(A182="","",IF(OR(B182="",C182="",D182="",E182="",F182="",G182="",H182="",I182="",J182=""),"Incomplete",IF(E182="Evidence required","Evidence required",IF(OR(I182="Hypothesis",I182="Observed association",I182="Contradictory or unresolved"),"Review required","Ready for qualified review"))))</x:f>
      </x:c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7" t="str">
        <x:f>IF(A183="","",IF(OR(B183="",C183="",D183="",E183="",F183="",G183="",H183="",I183="",J183=""),"Incomplete",IF(E183="Evidence required","Evidence required",IF(OR(I183="Hypothesis",I183="Observed association",I183="Contradictory or unresolved"),"Review required","Ready for qualified review"))))</x:f>
      </x:c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7" t="str">
        <x:f>IF(A184="","",IF(OR(B184="",C184="",D184="",E184="",F184="",G184="",H184="",I184="",J184=""),"Incomplete",IF(E184="Evidence required","Evidence required",IF(OR(I184="Hypothesis",I184="Observed association",I184="Contradictory or unresolved"),"Review required","Ready for qualified review"))))</x:f>
      </x:c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7" t="str">
        <x:f>IF(A185="","",IF(OR(B185="",C185="",D185="",E185="",F185="",G185="",H185="",I185="",J185=""),"Incomplete",IF(E185="Evidence required","Evidence required",IF(OR(I185="Hypothesis",I185="Observed association",I185="Contradictory or unresolved"),"Review required","Ready for qualified review"))))</x:f>
      </x:c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7" t="str">
        <x:f>IF(A186="","",IF(OR(B186="",C186="",D186="",E186="",F186="",G186="",H186="",I186="",J186=""),"Incomplete",IF(E186="Evidence required","Evidence required",IF(OR(I186="Hypothesis",I186="Observed association",I186="Contradictory or unresolved"),"Review required","Ready for qualified review"))))</x:f>
      </x:c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7" t="str">
        <x:f>IF(A187="","",IF(OR(B187="",C187="",D187="",E187="",F187="",G187="",H187="",I187="",J187=""),"Incomplete",IF(E187="Evidence required","Evidence required",IF(OR(I187="Hypothesis",I187="Observed association",I187="Contradictory or unresolved"),"Review required","Ready for qualified review"))))</x:f>
      </x:c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7" t="str">
        <x:f>IF(A188="","",IF(OR(B188="",C188="",D188="",E188="",F188="",G188="",H188="",I188="",J188=""),"Incomplete",IF(E188="Evidence required","Evidence required",IF(OR(I188="Hypothesis",I188="Observed association",I188="Contradictory or unresolved"),"Review required","Ready for qualified review"))))</x:f>
      </x:c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7" t="str">
        <x:f>IF(A189="","",IF(OR(B189="",C189="",D189="",E189="",F189="",G189="",H189="",I189="",J189=""),"Incomplete",IF(E189="Evidence required","Evidence required",IF(OR(I189="Hypothesis",I189="Observed association",I189="Contradictory or unresolved"),"Review required","Ready for qualified review"))))</x:f>
      </x:c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7" t="str">
        <x:f>IF(A190="","",IF(OR(B190="",C190="",D190="",E190="",F190="",G190="",H190="",I190="",J190=""),"Incomplete",IF(E190="Evidence required","Evidence required",IF(OR(I190="Hypothesis",I190="Observed association",I190="Contradictory or unresolved"),"Review required","Ready for qualified review"))))</x:f>
      </x:c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7" t="str">
        <x:f>IF(A191="","",IF(OR(B191="",C191="",D191="",E191="",F191="",G191="",H191="",I191="",J191=""),"Incomplete",IF(E191="Evidence required","Evidence required",IF(OR(I191="Hypothesis",I191="Observed association",I191="Contradictory or unresolved"),"Review required","Ready for qualified review"))))</x:f>
      </x:c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7" t="str">
        <x:f>IF(A192="","",IF(OR(B192="",C192="",D192="",E192="",F192="",G192="",H192="",I192="",J192=""),"Incomplete",IF(E192="Evidence required","Evidence required",IF(OR(I192="Hypothesis",I192="Observed association",I192="Contradictory or unresolved"),"Review required","Ready for qualified review"))))</x:f>
      </x:c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7" t="str">
        <x:f>IF(A193="","",IF(OR(B193="",C193="",D193="",E193="",F193="",G193="",H193="",I193="",J193=""),"Incomplete",IF(E193="Evidence required","Evidence required",IF(OR(I193="Hypothesis",I193="Observed association",I193="Contradictory or unresolved"),"Review required","Ready for qualified review"))))</x:f>
      </x:c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7" t="str">
        <x:f>IF(A194="","",IF(OR(B194="",C194="",D194="",E194="",F194="",G194="",H194="",I194="",J194=""),"Incomplete",IF(E194="Evidence required","Evidence required",IF(OR(I194="Hypothesis",I194="Observed association",I194="Contradictory or unresolved"),"Review required","Ready for qualified review"))))</x:f>
      </x:c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7" t="str">
        <x:f>IF(A195="","",IF(OR(B195="",C195="",D195="",E195="",F195="",G195="",H195="",I195="",J195=""),"Incomplete",IF(E195="Evidence required","Evidence required",IF(OR(I195="Hypothesis",I195="Observed association",I195="Contradictory or unresolved"),"Review required","Ready for qualified review"))))</x:f>
      </x:c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7" t="str">
        <x:f>IF(A196="","",IF(OR(B196="",C196="",D196="",E196="",F196="",G196="",H196="",I196="",J196=""),"Incomplete",IF(E196="Evidence required","Evidence required",IF(OR(I196="Hypothesis",I196="Observed association",I196="Contradictory or unresolved"),"Review required","Ready for qualified review"))))</x:f>
      </x:c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7" t="str">
        <x:f>IF(A197="","",IF(OR(B197="",C197="",D197="",E197="",F197="",G197="",H197="",I197="",J197=""),"Incomplete",IF(E197="Evidence required","Evidence required",IF(OR(I197="Hypothesis",I197="Observed association",I197="Contradictory or unresolved"),"Review required","Ready for qualified review"))))</x:f>
      </x:c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7" t="str">
        <x:f>IF(A198="","",IF(OR(B198="",C198="",D198="",E198="",F198="",G198="",H198="",I198="",J198=""),"Incomplete",IF(E198="Evidence required","Evidence required",IF(OR(I198="Hypothesis",I198="Observed association",I198="Contradictory or unresolved"),"Review required","Ready for qualified review"))))</x:f>
      </x:c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7" t="str">
        <x:f>IF(A199="","",IF(OR(B199="",C199="",D199="",E199="",F199="",G199="",H199="",I199="",J199=""),"Incomplete",IF(E199="Evidence required","Evidence required",IF(OR(I199="Hypothesis",I199="Observed association",I199="Contradictory or unresolved"),"Review required","Ready for qualified review"))))</x:f>
      </x:c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7" t="str">
        <x:f>IF(A200="","",IF(OR(B200="",C200="",D200="",E200="",F200="",G200="",H200="",I200="",J200=""),"Incomplete",IF(E200="Evidence required","Evidence required",IF(OR(I200="Hypothesis",I200="Observed association",I200="Contradictory or unresolved"),"Review required","Ready for qualified review"))))</x:f>
      </x:c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7" t="str">
        <x:f>IF(A201="","",IF(OR(B201="",C201="",D201="",E201="",F201="",G201="",H201="",I201="",J201=""),"Incomplete",IF(E201="Evidence required","Evidence required",IF(OR(I201="Hypothesis",I201="Observed association",I201="Contradictory or unresolved"),"Review required","Ready for qualified review"))))</x:f>
      </x:c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7" t="str">
        <x:f>IF(A202="","",IF(OR(B202="",C202="",D202="",E202="",F202="",G202="",H202="",I202="",J202=""),"Incomplete",IF(E202="Evidence required","Evidence required",IF(OR(I202="Hypothesis",I202="Observed association",I202="Contradictory or unresolved"),"Review required","Ready for qualified review"))))</x:f>
      </x:c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7" t="str">
        <x:f>IF(A203="","",IF(OR(B203="",C203="",D203="",E203="",F203="",G203="",H203="",I203="",J203=""),"Incomplete",IF(E203="Evidence required","Evidence required",IF(OR(I203="Hypothesis",I203="Observed association",I203="Contradictory or unresolved"),"Review required","Ready for qualified review"))))</x:f>
      </x:c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7" t="str">
        <x:f>IF(A204="","",IF(OR(B204="",C204="",D204="",E204="",F204="",G204="",H204="",I204="",J204=""),"Incomplete",IF(E204="Evidence required","Evidence required",IF(OR(I204="Hypothesis",I204="Observed association",I204="Contradictory or unresolved"),"Review required","Ready for qualified review"))))</x:f>
      </x:c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8" t="str">
        <x:f>IF(A205="","",IF(OR(B205="",C205="",D205="",E205="",F205="",G205="",H205="",I205="",J205=""),"Incomplete",IF(E205="Evidence required","Evidence required",IF(OR(I205="Hypothesis",I205="Observed association",I205="Contradictory or unresolved"),"Review required","Ready for qualified review"))))</x:f>
      </x:c>
    </x:row>
  </x:sheetData>
  <x:mergeCells>
    <x:mergeCell ref="A1:K1"/>
    <x:mergeCell ref="A2:K2"/>
  </x:mergeCells>
  <x:conditionalFormatting sqref="K6:K205">
    <x:cfRule type="containsText" dxfId="42" priority="1" operator="containsText" text="Incomplete"/>
    <x:cfRule type="containsText" dxfId="43" priority="2" operator="containsText" text="Evidence required"/>
    <x:cfRule type="containsText" dxfId="44" priority="3" operator="containsText" text="Review required"/>
    <x:cfRule type="containsText" dxfId="45" priority="4" operator="containsText" text="Open"/>
    <x:cfRule type="containsText" dxfId="46" priority="5" operator="containsText" text="Overdue"/>
    <x:cfRule type="containsText" dxfId="47" priority="6" operator="containsText" text="Ready"/>
    <x:cfRule type="containsText" dxfId="48" priority="7" operator="containsText" text="Closed"/>
  </x:conditionalFormatting>
  <x:dataValidations count="2">
    <x:dataValidation type="list" sqref="B6:B205">
      <x:formula1>"Official guidance,Controlled study,Manufacturing data,Analytical study,Material / supplier evidence,Container / integrity study,Shipping study,Deviation / change record,Platform knowledge,Other"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8" hidden="0" customWidth="1"/>
    <x:col min="4" max="4" width="22" hidden="0" customWidth="1"/>
    <x:col min="5" max="5" width="14" hidden="0" customWidth="1"/>
    <x:col min="6" max="6" width="30" hidden="0" customWidth="1"/>
    <x:col min="7" max="7" width="14" hidden="0" customWidth="1"/>
    <x:col min="8" max="8" width="16" hidden="0" customWidth="1"/>
    <x:col min="9" max="9" width="40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Convert gaps and contradictions into owned evidence requests, studies, reviews, commitments, and decisions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47" t="str">
        <x:v>Action ID</x:v>
      </x:c>
      <x:c r="B5" s="48" t="str">
        <x:v>Linked record IDs</x:v>
      </x:c>
      <x:c r="C5" s="48" t="str">
        <x:v>Action / decision</x:v>
      </x:c>
      <x:c r="D5" s="48" t="str">
        <x:v>Type</x:v>
      </x:c>
      <x:c r="E5" s="48" t="str">
        <x:v>Priority</x:v>
      </x:c>
      <x:c r="F5" s="48" t="str">
        <x:v>Owner role</x:v>
      </x:c>
      <x:c r="G5" s="48" t="str">
        <x:v>Due date</x:v>
      </x:c>
      <x:c r="H5" s="48" t="str">
        <x:v>Status</x:v>
      </x:c>
      <x:c r="I5" s="48" t="str">
        <x:v>Closure evidence / decision</x:v>
      </x:c>
      <x:c r="J5" s="49" t="str">
        <x:v>Attention</x:v>
      </x:c>
    </x:row>
    <x:row r="6">
      <x:c r="A6" s="60" t="str">
        <x:v>ACT-001</x:v>
      </x:c>
      <x:c r="B6" s="60" t="str">
        <x:v>QPA-002; PROC-003; STAB-004; EVD-006; EVD-009</x:v>
      </x:c>
      <x:c r="C6" s="60" t="str">
        <x:v>Confirm the particle and aggregate observations, identities, method/sample handling, representative exposure, and competing process/container hypotheses.</x:v>
      </x:c>
      <x:c r="D6" s="60" t="str">
        <x:v>Evidence request</x:v>
      </x:c>
      <x:c r="E6" s="60" t="str">
        <x:v>Critical</x:v>
      </x:c>
      <x:c r="F6" s="60" t="str">
        <x:v>Product quality / Analytical / Fill-finish MSAT</x:v>
      </x:c>
      <x:c r="G6" s="69" t="n">
        <x:v>46262</x:v>
      </x:c>
      <x:c r="H6" s="60" t="str">
        <x:v>In progress</x:v>
      </x:c>
      <x:c r="I6" s="60" t="str"/>
      <x:c r="J6" s="66" t="str">
        <x:f>IF(A6="","",IF(OR(B6="",C6="",D6="",E6="",F6="",G6="",H6=""),"Incomplete",IF(AND(H6&lt;&gt;"Closed",G6&lt;TODAY()),"Overdue",IF(H6="Closed",IF(I6="","Review required","Closed"),"Open"))))</x:f>
        <x:v>Open</x:v>
      </x:c>
    </x:row>
    <x:row r="7">
      <x:c r="A7" s="61" t="str">
        <x:v>ACT-002</x:v>
      </x:c>
      <x:c r="B7" s="61" t="str">
        <x:v>FORM-006; PROC-005; QPA-005; QPA-006; EVD-007; EVD-008</x:v>
      </x:c>
      <x:c r="C7" s="61" t="str">
        <x:v>Complete proposed stopper and complete-system material, compatibility, integrity, functional, aging, and product-impact evidence review.</x:v>
      </x:c>
      <x:c r="D7" s="61" t="str">
        <x:v>Study</x:v>
      </x:c>
      <x:c r="E7" s="61" t="str">
        <x:v>Critical</x:v>
      </x:c>
      <x:c r="F7" s="61" t="str">
        <x:v>Container engineering / Quality / Formulation</x:v>
      </x:c>
      <x:c r="G7" s="70" t="n">
        <x:v>46270</x:v>
      </x:c>
      <x:c r="H7" s="61" t="str">
        <x:v>Not started</x:v>
      </x:c>
      <x:c r="I7" s="61" t="str"/>
      <x:c r="J7" s="67" t="str">
        <x:f>IF(A7="","",IF(OR(B7="",C7="",D7="",E7="",F7="",G7="",H7=""),"Incomplete",IF(AND(H7&lt;&gt;"Closed",G7&lt;TODAY()),"Overdue",IF(H7="Closed",IF(I7="","Review required","Closed"),"Open"))))</x:f>
        <x:v>Open</x:v>
      </x:c>
    </x:row>
    <x:row r="8">
      <x:c r="A8" s="61" t="str">
        <x:v>ACT-003</x:v>
      </x:c>
      <x:c r="B8" s="61" t="str">
        <x:v>PROC-001; PROC-003; PROC-004; EVD-005; EVD-006</x:v>
      </x:c>
      <x:c r="C8" s="61" t="str">
        <x:v>Approve representative revised hold, agitation, filtration/fill exposure, sampling, product-quality, and validation evidence plan.</x:v>
      </x:c>
      <x:c r="D8" s="61" t="str">
        <x:v>Validation</x:v>
      </x:c>
      <x:c r="E8" s="61" t="str">
        <x:v>Critical</x:v>
      </x:c>
      <x:c r="F8" s="61" t="str">
        <x:v>Fill-finish MSAT / Validation / Product quality</x:v>
      </x:c>
      <x:c r="G8" s="70" t="n">
        <x:v>46277</x:v>
      </x:c>
      <x:c r="H8" s="61" t="str">
        <x:v>Not started</x:v>
      </x:c>
      <x:c r="I8" s="61" t="str"/>
      <x:c r="J8" s="67" t="str">
        <x:f>IF(A8="","",IF(OR(B8="",C8="",D8="",E8="",F8="",G8="",H8=""),"Incomplete",IF(AND(H8&lt;&gt;"Closed",G8&lt;TODAY()),"Overdue",IF(H8="Closed",IF(I8="","Review required","Closed"),"Open"))))</x:f>
        <x:v>Open</x:v>
      </x:c>
    </x:row>
    <x:row r="9">
      <x:c r="A9" s="61" t="str">
        <x:v>ACT-004</x:v>
      </x:c>
      <x:c r="B9" s="61" t="str">
        <x:v>STAB-002; STAB-004; STAB-006; EVD-001; EVD-002</x:v>
      </x:c>
      <x:c r="C9" s="61" t="str">
        <x:v>Approve the change-specific stability protocol, representative material/presentation, analytical coverage, commitments, and interpretation boundaries.</x:v>
      </x:c>
      <x:c r="D9" s="61" t="str">
        <x:v>Review</x:v>
      </x:c>
      <x:c r="E9" s="61" t="str">
        <x:v>Critical</x:v>
      </x:c>
      <x:c r="F9" s="61" t="str">
        <x:v>Stability / Analytical / Regulatory CMC</x:v>
      </x:c>
      <x:c r="G9" s="70" t="n">
        <x:v>46284</x:v>
      </x:c>
      <x:c r="H9" s="61" t="str">
        <x:v>Blocked</x:v>
      </x:c>
      <x:c r="I9" s="61" t="str"/>
      <x:c r="J9" s="67" t="str">
        <x:f>IF(A9="","",IF(OR(B9="",C9="",D9="",E9="",F9="",G9="",H9=""),"Incomplete",IF(AND(H9&lt;&gt;"Closed",G9&lt;TODAY()),"Overdue",IF(H9="Closed",IF(I9="","Review required","Closed"),"Open"))))</x:f>
        <x:v>Open</x:v>
      </x:c>
    </x:row>
    <x:row r="10">
      <x:c r="A10" s="61" t="str">
        <x:v>ACT-005</x:v>
      </x:c>
      <x:c r="B10" s="61" t="str">
        <x:v>ACT-001; ACT-002; ACT-003; ACT-004; EVD-010</x:v>
      </x:c>
      <x:c r="C10" s="61" t="str">
        <x:v>Record the authorized comparability, validation, quality, regulatory, implementation, and stability-commitment decision before change execution.</x:v>
      </x:c>
      <x:c r="D10" s="61" t="str">
        <x:v>Decision</x:v>
      </x:c>
      <x:c r="E10" s="61" t="str">
        <x:v>Critical</x:v>
      </x:c>
      <x:c r="F10" s="61" t="str">
        <x:v>Change owner / Quality unit / Regulatory CMC</x:v>
      </x:c>
      <x:c r="G10" s="70" t="n">
        <x:v>46290</x:v>
      </x:c>
      <x:c r="H10" s="61" t="str">
        <x:v>Blocked</x:v>
      </x:c>
      <x:c r="I10" s="61" t="str"/>
      <x:c r="J10" s="67" t="str">
        <x:f>IF(A10="","",IF(OR(B10="",C10="",D10="",E10="",F10="",G10="",H10=""),"Incomplete",IF(AND(H10&lt;&gt;"Closed",G10&lt;TODAY()),"Overdue",IF(H10="Closed",IF(I10="","Review required","Closed"),"Open"))))</x:f>
        <x:v>Open</x:v>
      </x:c>
    </x:row>
    <x:row r="11">
      <x:c r="A11" s="61"/>
      <x:c r="B11" s="61"/>
      <x:c r="C11" s="61"/>
      <x:c r="D11" s="61"/>
      <x:c r="E11" s="61"/>
      <x:c r="F11" s="61"/>
      <x:c r="G11" s="70"/>
      <x:c r="H11" s="61"/>
      <x:c r="I11" s="61"/>
      <x:c r="J11" s="67" t="str">
        <x:f>IF(A11="","",IF(OR(B11="",C11="",D11="",E11="",F11="",G11="",H11=""),"Incomplete",IF(AND(H11&lt;&gt;"Closed",G11&lt;TODAY()),"Overdue",IF(H11="Closed",IF(I11="","Review required","Closed"),"Open"))))</x:f>
      </x:c>
    </x:row>
    <x:row r="12">
      <x:c r="A12" s="61"/>
      <x:c r="B12" s="61"/>
      <x:c r="C12" s="61"/>
      <x:c r="D12" s="61"/>
      <x:c r="E12" s="61"/>
      <x:c r="F12" s="61"/>
      <x:c r="G12" s="70"/>
      <x:c r="H12" s="61"/>
      <x:c r="I12" s="61"/>
      <x:c r="J12" s="67" t="str">
        <x:f>IF(A12="","",IF(OR(B12="",C12="",D12="",E12="",F12="",G12="",H12=""),"Incomplete",IF(AND(H12&lt;&gt;"Closed",G12&lt;TODAY()),"Overdue",IF(H12="Closed",IF(I12="","Review required","Closed"),"Open"))))</x:f>
      </x:c>
    </x:row>
    <x:row r="13">
      <x:c r="A13" s="61"/>
      <x:c r="B13" s="61"/>
      <x:c r="C13" s="61"/>
      <x:c r="D13" s="61"/>
      <x:c r="E13" s="61"/>
      <x:c r="F13" s="61"/>
      <x:c r="G13" s="70"/>
      <x:c r="H13" s="61"/>
      <x:c r="I13" s="61"/>
      <x:c r="J13" s="67" t="str">
        <x:f>IF(A13="","",IF(OR(B13="",C13="",D13="",E13="",F13="",G13="",H13=""),"Incomplete",IF(AND(H13&lt;&gt;"Closed",G13&lt;TODAY()),"Overdue",IF(H13="Closed",IF(I13="","Review required","Closed"),"Open"))))</x:f>
      </x:c>
    </x:row>
    <x:row r="14">
      <x:c r="A14" s="61"/>
      <x:c r="B14" s="61"/>
      <x:c r="C14" s="61"/>
      <x:c r="D14" s="61"/>
      <x:c r="E14" s="61"/>
      <x:c r="F14" s="61"/>
      <x:c r="G14" s="70"/>
      <x:c r="H14" s="61"/>
      <x:c r="I14" s="61"/>
      <x:c r="J14" s="67" t="str">
        <x:f>IF(A14="","",IF(OR(B14="",C14="",D14="",E14="",F14="",G14="",H14=""),"Incomplete",IF(AND(H14&lt;&gt;"Closed",G14&lt;TODAY()),"Overdue",IF(H14="Closed",IF(I14="","Review required","Closed"),"Open"))))</x:f>
      </x:c>
    </x:row>
    <x:row r="15">
      <x:c r="A15" s="61"/>
      <x:c r="B15" s="61"/>
      <x:c r="C15" s="61"/>
      <x:c r="D15" s="61"/>
      <x:c r="E15" s="61"/>
      <x:c r="F15" s="61"/>
      <x:c r="G15" s="70"/>
      <x:c r="H15" s="61"/>
      <x:c r="I15" s="61"/>
      <x:c r="J15" s="67" t="str">
        <x:f>IF(A15="","",IF(OR(B15="",C15="",D15="",E15="",F15="",G15="",H15=""),"Incomplete",IF(AND(H15&lt;&gt;"Closed",G15&lt;TODAY()),"Overdue",IF(H15="Closed",IF(I15="","Review required","Closed"),"Open"))))</x:f>
      </x:c>
    </x:row>
    <x:row r="16">
      <x:c r="A16" s="61"/>
      <x:c r="B16" s="61"/>
      <x:c r="C16" s="61"/>
      <x:c r="D16" s="61"/>
      <x:c r="E16" s="61"/>
      <x:c r="F16" s="61"/>
      <x:c r="G16" s="70"/>
      <x:c r="H16" s="61"/>
      <x:c r="I16" s="61"/>
      <x:c r="J16" s="67" t="str">
        <x:f>IF(A16="","",IF(OR(B16="",C16="",D16="",E16="",F16="",G16="",H16=""),"Incomplete",IF(AND(H16&lt;&gt;"Closed",G16&lt;TODAY()),"Overdue",IF(H16="Closed",IF(I16="","Review required","Closed"),"Open"))))</x:f>
      </x:c>
    </x:row>
    <x:row r="17">
      <x:c r="A17" s="61"/>
      <x:c r="B17" s="61"/>
      <x:c r="C17" s="61"/>
      <x:c r="D17" s="61"/>
      <x:c r="E17" s="61"/>
      <x:c r="F17" s="61"/>
      <x:c r="G17" s="70"/>
      <x:c r="H17" s="61"/>
      <x:c r="I17" s="61"/>
      <x:c r="J17" s="67" t="str">
        <x:f>IF(A17="","",IF(OR(B17="",C17="",D17="",E17="",F17="",G17="",H17=""),"Incomplete",IF(AND(H17&lt;&gt;"Closed",G17&lt;TODAY()),"Overdue",IF(H17="Closed",IF(I17="","Review required","Closed"),"Open"))))</x:f>
      </x:c>
    </x:row>
    <x:row r="18">
      <x:c r="A18" s="61"/>
      <x:c r="B18" s="61"/>
      <x:c r="C18" s="61"/>
      <x:c r="D18" s="61"/>
      <x:c r="E18" s="61"/>
      <x:c r="F18" s="61"/>
      <x:c r="G18" s="70"/>
      <x:c r="H18" s="61"/>
      <x:c r="I18" s="61"/>
      <x:c r="J18" s="67" t="str">
        <x:f>IF(A18="","",IF(OR(B18="",C18="",D18="",E18="",F18="",G18="",H18=""),"Incomplete",IF(AND(H18&lt;&gt;"Closed",G18&lt;TODAY()),"Overdue",IF(H18="Closed",IF(I18="","Review required","Closed"),"Open"))))</x:f>
      </x:c>
    </x:row>
    <x:row r="19">
      <x:c r="A19" s="61"/>
      <x:c r="B19" s="61"/>
      <x:c r="C19" s="61"/>
      <x:c r="D19" s="61"/>
      <x:c r="E19" s="61"/>
      <x:c r="F19" s="61"/>
      <x:c r="G19" s="70"/>
      <x:c r="H19" s="61"/>
      <x:c r="I19" s="61"/>
      <x:c r="J19" s="67" t="str">
        <x:f>IF(A19="","",IF(OR(B19="",C19="",D19="",E19="",F19="",G19="",H19=""),"Incomplete",IF(AND(H19&lt;&gt;"Closed",G19&lt;TODAY()),"Overdue",IF(H19="Closed",IF(I19="","Review required","Closed"),"Open"))))</x:f>
      </x:c>
    </x:row>
    <x:row r="20">
      <x:c r="A20" s="61"/>
      <x:c r="B20" s="61"/>
      <x:c r="C20" s="61"/>
      <x:c r="D20" s="61"/>
      <x:c r="E20" s="61"/>
      <x:c r="F20" s="61"/>
      <x:c r="G20" s="70"/>
      <x:c r="H20" s="61"/>
      <x:c r="I20" s="61"/>
      <x:c r="J20" s="67" t="str">
        <x:f>IF(A20="","",IF(OR(B20="",C20="",D20="",E20="",F20="",G20="",H20=""),"Incomplete",IF(AND(H20&lt;&gt;"Closed",G20&lt;TODAY()),"Overdue",IF(H20="Closed",IF(I20="","Review required","Closed"),"Open"))))</x:f>
      </x:c>
    </x:row>
    <x:row r="21">
      <x:c r="A21" s="61"/>
      <x:c r="B21" s="61"/>
      <x:c r="C21" s="61"/>
      <x:c r="D21" s="61"/>
      <x:c r="E21" s="61"/>
      <x:c r="F21" s="61"/>
      <x:c r="G21" s="70"/>
      <x:c r="H21" s="61"/>
      <x:c r="I21" s="61"/>
      <x:c r="J21" s="67" t="str">
        <x:f>IF(A21="","",IF(OR(B21="",C21="",D21="",E21="",F21="",G21="",H21=""),"Incomplete",IF(AND(H21&lt;&gt;"Closed",G21&lt;TODAY()),"Overdue",IF(H21="Closed",IF(I21="","Review required","Closed"),"Open"))))</x:f>
      </x:c>
    </x:row>
    <x:row r="22">
      <x:c r="A22" s="61"/>
      <x:c r="B22" s="61"/>
      <x:c r="C22" s="61"/>
      <x:c r="D22" s="61"/>
      <x:c r="E22" s="61"/>
      <x:c r="F22" s="61"/>
      <x:c r="G22" s="70"/>
      <x:c r="H22" s="61"/>
      <x:c r="I22" s="61"/>
      <x:c r="J22" s="67" t="str">
        <x:f>IF(A22="","",IF(OR(B22="",C22="",D22="",E22="",F22="",G22="",H22=""),"Incomplete",IF(AND(H22&lt;&gt;"Closed",G22&lt;TODAY()),"Overdue",IF(H22="Closed",IF(I22="","Review required","Closed"),"Open"))))</x:f>
      </x:c>
    </x:row>
    <x:row r="23">
      <x:c r="A23" s="61"/>
      <x:c r="B23" s="61"/>
      <x:c r="C23" s="61"/>
      <x:c r="D23" s="61"/>
      <x:c r="E23" s="61"/>
      <x:c r="F23" s="61"/>
      <x:c r="G23" s="70"/>
      <x:c r="H23" s="61"/>
      <x:c r="I23" s="61"/>
      <x:c r="J23" s="67" t="str">
        <x:f>IF(A23="","",IF(OR(B23="",C23="",D23="",E23="",F23="",G23="",H23=""),"Incomplete",IF(AND(H23&lt;&gt;"Closed",G23&lt;TODAY()),"Overdue",IF(H23="Closed",IF(I23="","Review required","Closed"),"Open"))))</x:f>
      </x:c>
    </x:row>
    <x:row r="24">
      <x:c r="A24" s="61"/>
      <x:c r="B24" s="61"/>
      <x:c r="C24" s="61"/>
      <x:c r="D24" s="61"/>
      <x:c r="E24" s="61"/>
      <x:c r="F24" s="61"/>
      <x:c r="G24" s="70"/>
      <x:c r="H24" s="61"/>
      <x:c r="I24" s="61"/>
      <x:c r="J24" s="67" t="str">
        <x:f>IF(A24="","",IF(OR(B24="",C24="",D24="",E24="",F24="",G24="",H24=""),"Incomplete",IF(AND(H24&lt;&gt;"Closed",G24&lt;TODAY()),"Overdue",IF(H24="Closed",IF(I24="","Review required","Closed"),"Open"))))</x:f>
      </x:c>
    </x:row>
    <x:row r="25">
      <x:c r="A25" s="61"/>
      <x:c r="B25" s="61"/>
      <x:c r="C25" s="61"/>
      <x:c r="D25" s="61"/>
      <x:c r="E25" s="61"/>
      <x:c r="F25" s="61"/>
      <x:c r="G25" s="70"/>
      <x:c r="H25" s="61"/>
      <x:c r="I25" s="61"/>
      <x:c r="J25" s="67" t="str">
        <x:f>IF(A25="","",IF(OR(B25="",C25="",D25="",E25="",F25="",G25="",H25=""),"Incomplete",IF(AND(H25&lt;&gt;"Closed",G25&lt;TODAY()),"Overdue",IF(H25="Closed",IF(I25="","Review required","Closed"),"Open"))))</x:f>
      </x:c>
    </x:row>
    <x:row r="26">
      <x:c r="A26" s="61"/>
      <x:c r="B26" s="61"/>
      <x:c r="C26" s="61"/>
      <x:c r="D26" s="61"/>
      <x:c r="E26" s="61"/>
      <x:c r="F26" s="61"/>
      <x:c r="G26" s="70"/>
      <x:c r="H26" s="61"/>
      <x:c r="I26" s="61"/>
      <x:c r="J26" s="67" t="str">
        <x:f>IF(A26="","",IF(OR(B26="",C26="",D26="",E26="",F26="",G26="",H26=""),"Incomplete",IF(AND(H26&lt;&gt;"Closed",G26&lt;TODAY()),"Overdue",IF(H26="Closed",IF(I26="","Review required","Closed"),"Open"))))</x:f>
      </x:c>
    </x:row>
    <x:row r="27">
      <x:c r="A27" s="61"/>
      <x:c r="B27" s="61"/>
      <x:c r="C27" s="61"/>
      <x:c r="D27" s="61"/>
      <x:c r="E27" s="61"/>
      <x:c r="F27" s="61"/>
      <x:c r="G27" s="70"/>
      <x:c r="H27" s="61"/>
      <x:c r="I27" s="61"/>
      <x:c r="J27" s="67" t="str">
        <x:f>IF(A27="","",IF(OR(B27="",C27="",D27="",E27="",F27="",G27="",H27=""),"Incomplete",IF(AND(H27&lt;&gt;"Closed",G27&lt;TODAY()),"Overdue",IF(H27="Closed",IF(I27="","Review required","Closed"),"Open"))))</x:f>
      </x:c>
    </x:row>
    <x:row r="28">
      <x:c r="A28" s="61"/>
      <x:c r="B28" s="61"/>
      <x:c r="C28" s="61"/>
      <x:c r="D28" s="61"/>
      <x:c r="E28" s="61"/>
      <x:c r="F28" s="61"/>
      <x:c r="G28" s="70"/>
      <x:c r="H28" s="61"/>
      <x:c r="I28" s="61"/>
      <x:c r="J28" s="67" t="str">
        <x:f>IF(A28="","",IF(OR(B28="",C28="",D28="",E28="",F28="",G28="",H28=""),"Incomplete",IF(AND(H28&lt;&gt;"Closed",G28&lt;TODAY()),"Overdue",IF(H28="Closed",IF(I28="","Review required","Closed"),"Open"))))</x:f>
      </x:c>
    </x:row>
    <x:row r="29">
      <x:c r="A29" s="61"/>
      <x:c r="B29" s="61"/>
      <x:c r="C29" s="61"/>
      <x:c r="D29" s="61"/>
      <x:c r="E29" s="61"/>
      <x:c r="F29" s="61"/>
      <x:c r="G29" s="70"/>
      <x:c r="H29" s="61"/>
      <x:c r="I29" s="61"/>
      <x:c r="J29" s="67" t="str">
        <x:f>IF(A29="","",IF(OR(B29="",C29="",D29="",E29="",F29="",G29="",H29=""),"Incomplete",IF(AND(H29&lt;&gt;"Closed",G29&lt;TODAY()),"Overdue",IF(H29="Closed",IF(I29="","Review required","Closed"),"Open"))))</x:f>
      </x:c>
    </x:row>
    <x:row r="30">
      <x:c r="A30" s="61"/>
      <x:c r="B30" s="61"/>
      <x:c r="C30" s="61"/>
      <x:c r="D30" s="61"/>
      <x:c r="E30" s="61"/>
      <x:c r="F30" s="61"/>
      <x:c r="G30" s="70"/>
      <x:c r="H30" s="61"/>
      <x:c r="I30" s="61"/>
      <x:c r="J30" s="67" t="str">
        <x:f>IF(A30="","",IF(OR(B30="",C30="",D30="",E30="",F30="",G30="",H30=""),"Incomplete",IF(AND(H30&lt;&gt;"Closed",G30&lt;TODAY()),"Overdue",IF(H30="Closed",IF(I30="","Review required","Closed"),"Open"))))</x:f>
      </x:c>
    </x:row>
    <x:row r="31">
      <x:c r="A31" s="61"/>
      <x:c r="B31" s="61"/>
      <x:c r="C31" s="61"/>
      <x:c r="D31" s="61"/>
      <x:c r="E31" s="61"/>
      <x:c r="F31" s="61"/>
      <x:c r="G31" s="70"/>
      <x:c r="H31" s="61"/>
      <x:c r="I31" s="61"/>
      <x:c r="J31" s="67" t="str">
        <x:f>IF(A31="","",IF(OR(B31="",C31="",D31="",E31="",F31="",G31="",H31=""),"Incomplete",IF(AND(H31&lt;&gt;"Closed",G31&lt;TODAY()),"Overdue",IF(H31="Closed",IF(I31="","Review required","Closed"),"Open"))))</x:f>
      </x:c>
    </x:row>
    <x:row r="32">
      <x:c r="A32" s="61"/>
      <x:c r="B32" s="61"/>
      <x:c r="C32" s="61"/>
      <x:c r="D32" s="61"/>
      <x:c r="E32" s="61"/>
      <x:c r="F32" s="61"/>
      <x:c r="G32" s="70"/>
      <x:c r="H32" s="61"/>
      <x:c r="I32" s="61"/>
      <x:c r="J32" s="67" t="str">
        <x:f>IF(A32="","",IF(OR(B32="",C32="",D32="",E32="",F32="",G32="",H32=""),"Incomplete",IF(AND(H32&lt;&gt;"Closed",G32&lt;TODAY()),"Overdue",IF(H32="Closed",IF(I32="","Review required","Closed"),"Open"))))</x:f>
      </x:c>
    </x:row>
    <x:row r="33">
      <x:c r="A33" s="61"/>
      <x:c r="B33" s="61"/>
      <x:c r="C33" s="61"/>
      <x:c r="D33" s="61"/>
      <x:c r="E33" s="61"/>
      <x:c r="F33" s="61"/>
      <x:c r="G33" s="70"/>
      <x:c r="H33" s="61"/>
      <x:c r="I33" s="61"/>
      <x:c r="J33" s="67" t="str">
        <x:f>IF(A33="","",IF(OR(B33="",C33="",D33="",E33="",F33="",G33="",H33=""),"Incomplete",IF(AND(H33&lt;&gt;"Closed",G33&lt;TODAY()),"Overdue",IF(H33="Closed",IF(I33="","Review required","Closed"),"Open"))))</x:f>
      </x:c>
    </x:row>
    <x:row r="34">
      <x:c r="A34" s="61"/>
      <x:c r="B34" s="61"/>
      <x:c r="C34" s="61"/>
      <x:c r="D34" s="61"/>
      <x:c r="E34" s="61"/>
      <x:c r="F34" s="61"/>
      <x:c r="G34" s="70"/>
      <x:c r="H34" s="61"/>
      <x:c r="I34" s="61"/>
      <x:c r="J34" s="67" t="str">
        <x:f>IF(A34="","",IF(OR(B34="",C34="",D34="",E34="",F34="",G34="",H34=""),"Incomplete",IF(AND(H34&lt;&gt;"Closed",G34&lt;TODAY()),"Overdue",IF(H34="Closed",IF(I34="","Review required","Closed"),"Open"))))</x:f>
      </x:c>
    </x:row>
    <x:row r="35">
      <x:c r="A35" s="61"/>
      <x:c r="B35" s="61"/>
      <x:c r="C35" s="61"/>
      <x:c r="D35" s="61"/>
      <x:c r="E35" s="61"/>
      <x:c r="F35" s="61"/>
      <x:c r="G35" s="70"/>
      <x:c r="H35" s="61"/>
      <x:c r="I35" s="61"/>
      <x:c r="J35" s="67" t="str">
        <x:f>IF(A35="","",IF(OR(B35="",C35="",D35="",E35="",F35="",G35="",H35=""),"Incomplete",IF(AND(H35&lt;&gt;"Closed",G35&lt;TODAY()),"Overdue",IF(H35="Closed",IF(I35="","Review required","Closed"),"Open"))))</x:f>
      </x:c>
    </x:row>
    <x:row r="36">
      <x:c r="A36" s="61"/>
      <x:c r="B36" s="61"/>
      <x:c r="C36" s="61"/>
      <x:c r="D36" s="61"/>
      <x:c r="E36" s="61"/>
      <x:c r="F36" s="61"/>
      <x:c r="G36" s="70"/>
      <x:c r="H36" s="61"/>
      <x:c r="I36" s="61"/>
      <x:c r="J36" s="67" t="str">
        <x:f>IF(A36="","",IF(OR(B36="",C36="",D36="",E36="",F36="",G36="",H36=""),"Incomplete",IF(AND(H36&lt;&gt;"Closed",G36&lt;TODAY()),"Overdue",IF(H36="Closed",IF(I36="","Review required","Closed"),"Open"))))</x:f>
      </x:c>
    </x:row>
    <x:row r="37">
      <x:c r="A37" s="61"/>
      <x:c r="B37" s="61"/>
      <x:c r="C37" s="61"/>
      <x:c r="D37" s="61"/>
      <x:c r="E37" s="61"/>
      <x:c r="F37" s="61"/>
      <x:c r="G37" s="70"/>
      <x:c r="H37" s="61"/>
      <x:c r="I37" s="61"/>
      <x:c r="J37" s="67" t="str">
        <x:f>IF(A37="","",IF(OR(B37="",C37="",D37="",E37="",F37="",G37="",H37=""),"Incomplete",IF(AND(H37&lt;&gt;"Closed",G37&lt;TODAY()),"Overdue",IF(H37="Closed",IF(I37="","Review required","Closed"),"Open"))))</x:f>
      </x:c>
    </x:row>
    <x:row r="38">
      <x:c r="A38" s="61"/>
      <x:c r="B38" s="61"/>
      <x:c r="C38" s="61"/>
      <x:c r="D38" s="61"/>
      <x:c r="E38" s="61"/>
      <x:c r="F38" s="61"/>
      <x:c r="G38" s="70"/>
      <x:c r="H38" s="61"/>
      <x:c r="I38" s="61"/>
      <x:c r="J38" s="67" t="str">
        <x:f>IF(A38="","",IF(OR(B38="",C38="",D38="",E38="",F38="",G38="",H38=""),"Incomplete",IF(AND(H38&lt;&gt;"Closed",G38&lt;TODAY()),"Overdue",IF(H38="Closed",IF(I38="","Review required","Closed"),"Open"))))</x:f>
      </x:c>
    </x:row>
    <x:row r="39">
      <x:c r="A39" s="61"/>
      <x:c r="B39" s="61"/>
      <x:c r="C39" s="61"/>
      <x:c r="D39" s="61"/>
      <x:c r="E39" s="61"/>
      <x:c r="F39" s="61"/>
      <x:c r="G39" s="70"/>
      <x:c r="H39" s="61"/>
      <x:c r="I39" s="61"/>
      <x:c r="J39" s="67" t="str">
        <x:f>IF(A39="","",IF(OR(B39="",C39="",D39="",E39="",F39="",G39="",H39=""),"Incomplete",IF(AND(H39&lt;&gt;"Closed",G39&lt;TODAY()),"Overdue",IF(H39="Closed",IF(I39="","Review required","Closed"),"Open"))))</x:f>
      </x:c>
    </x:row>
    <x:row r="40">
      <x:c r="A40" s="61"/>
      <x:c r="B40" s="61"/>
      <x:c r="C40" s="61"/>
      <x:c r="D40" s="61"/>
      <x:c r="E40" s="61"/>
      <x:c r="F40" s="61"/>
      <x:c r="G40" s="70"/>
      <x:c r="H40" s="61"/>
      <x:c r="I40" s="61"/>
      <x:c r="J40" s="67" t="str">
        <x:f>IF(A40="","",IF(OR(B40="",C40="",D40="",E40="",F40="",G40="",H40=""),"Incomplete",IF(AND(H40&lt;&gt;"Closed",G40&lt;TODAY()),"Overdue",IF(H40="Closed",IF(I40="","Review required","Closed"),"Open"))))</x:f>
      </x:c>
    </x:row>
    <x:row r="41">
      <x:c r="A41" s="61"/>
      <x:c r="B41" s="61"/>
      <x:c r="C41" s="61"/>
      <x:c r="D41" s="61"/>
      <x:c r="E41" s="61"/>
      <x:c r="F41" s="61"/>
      <x:c r="G41" s="70"/>
      <x:c r="H41" s="61"/>
      <x:c r="I41" s="61"/>
      <x:c r="J41" s="67" t="str">
        <x:f>IF(A41="","",IF(OR(B41="",C41="",D41="",E41="",F41="",G41="",H41=""),"Incomplete",IF(AND(H41&lt;&gt;"Closed",G41&lt;TODAY()),"Overdue",IF(H41="Closed",IF(I41="","Review required","Closed"),"Open"))))</x:f>
      </x:c>
    </x:row>
    <x:row r="42">
      <x:c r="A42" s="61"/>
      <x:c r="B42" s="61"/>
      <x:c r="C42" s="61"/>
      <x:c r="D42" s="61"/>
      <x:c r="E42" s="61"/>
      <x:c r="F42" s="61"/>
      <x:c r="G42" s="70"/>
      <x:c r="H42" s="61"/>
      <x:c r="I42" s="61"/>
      <x:c r="J42" s="67" t="str">
        <x:f>IF(A42="","",IF(OR(B42="",C42="",D42="",E42="",F42="",G42="",H42=""),"Incomplete",IF(AND(H42&lt;&gt;"Closed",G42&lt;TODAY()),"Overdue",IF(H42="Closed",IF(I42="","Review required","Closed"),"Open"))))</x:f>
      </x:c>
    </x:row>
    <x:row r="43">
      <x:c r="A43" s="61"/>
      <x:c r="B43" s="61"/>
      <x:c r="C43" s="61"/>
      <x:c r="D43" s="61"/>
      <x:c r="E43" s="61"/>
      <x:c r="F43" s="61"/>
      <x:c r="G43" s="70"/>
      <x:c r="H43" s="61"/>
      <x:c r="I43" s="61"/>
      <x:c r="J43" s="67" t="str">
        <x:f>IF(A43="","",IF(OR(B43="",C43="",D43="",E43="",F43="",G43="",H43=""),"Incomplete",IF(AND(H43&lt;&gt;"Closed",G43&lt;TODAY()),"Overdue",IF(H43="Closed",IF(I43="","Review required","Closed"),"Open"))))</x:f>
      </x:c>
    </x:row>
    <x:row r="44">
      <x:c r="A44" s="61"/>
      <x:c r="B44" s="61"/>
      <x:c r="C44" s="61"/>
      <x:c r="D44" s="61"/>
      <x:c r="E44" s="61"/>
      <x:c r="F44" s="61"/>
      <x:c r="G44" s="70"/>
      <x:c r="H44" s="61"/>
      <x:c r="I44" s="61"/>
      <x:c r="J44" s="67" t="str">
        <x:f>IF(A44="","",IF(OR(B44="",C44="",D44="",E44="",F44="",G44="",H44=""),"Incomplete",IF(AND(H44&lt;&gt;"Closed",G44&lt;TODAY()),"Overdue",IF(H44="Closed",IF(I44="","Review required","Closed"),"Open"))))</x:f>
      </x:c>
    </x:row>
    <x:row r="45">
      <x:c r="A45" s="61"/>
      <x:c r="B45" s="61"/>
      <x:c r="C45" s="61"/>
      <x:c r="D45" s="61"/>
      <x:c r="E45" s="61"/>
      <x:c r="F45" s="61"/>
      <x:c r="G45" s="70"/>
      <x:c r="H45" s="61"/>
      <x:c r="I45" s="61"/>
      <x:c r="J45" s="67" t="str">
        <x:f>IF(A45="","",IF(OR(B45="",C45="",D45="",E45="",F45="",G45="",H45=""),"Incomplete",IF(AND(H45&lt;&gt;"Closed",G45&lt;TODAY()),"Overdue",IF(H45="Closed",IF(I45="","Review required","Closed"),"Open"))))</x:f>
      </x:c>
    </x:row>
    <x:row r="46">
      <x:c r="A46" s="61"/>
      <x:c r="B46" s="61"/>
      <x:c r="C46" s="61"/>
      <x:c r="D46" s="61"/>
      <x:c r="E46" s="61"/>
      <x:c r="F46" s="61"/>
      <x:c r="G46" s="70"/>
      <x:c r="H46" s="61"/>
      <x:c r="I46" s="61"/>
      <x:c r="J46" s="67" t="str">
        <x:f>IF(A46="","",IF(OR(B46="",C46="",D46="",E46="",F46="",G46="",H46=""),"Incomplete",IF(AND(H46&lt;&gt;"Closed",G46&lt;TODAY()),"Overdue",IF(H46="Closed",IF(I46="","Review required","Closed"),"Open"))))</x:f>
      </x:c>
    </x:row>
    <x:row r="47">
      <x:c r="A47" s="61"/>
      <x:c r="B47" s="61"/>
      <x:c r="C47" s="61"/>
      <x:c r="D47" s="61"/>
      <x:c r="E47" s="61"/>
      <x:c r="F47" s="61"/>
      <x:c r="G47" s="70"/>
      <x:c r="H47" s="61"/>
      <x:c r="I47" s="61"/>
      <x:c r="J47" s="67" t="str">
        <x:f>IF(A47="","",IF(OR(B47="",C47="",D47="",E47="",F47="",G47="",H47=""),"Incomplete",IF(AND(H47&lt;&gt;"Closed",G47&lt;TODAY()),"Overdue",IF(H47="Closed",IF(I47="","Review required","Closed"),"Open"))))</x:f>
      </x:c>
    </x:row>
    <x:row r="48">
      <x:c r="A48" s="61"/>
      <x:c r="B48" s="61"/>
      <x:c r="C48" s="61"/>
      <x:c r="D48" s="61"/>
      <x:c r="E48" s="61"/>
      <x:c r="F48" s="61"/>
      <x:c r="G48" s="70"/>
      <x:c r="H48" s="61"/>
      <x:c r="I48" s="61"/>
      <x:c r="J48" s="67" t="str">
        <x:f>IF(A48="","",IF(OR(B48="",C48="",D48="",E48="",F48="",G48="",H48=""),"Incomplete",IF(AND(H48&lt;&gt;"Closed",G48&lt;TODAY()),"Overdue",IF(H48="Closed",IF(I48="","Review required","Closed"),"Open"))))</x:f>
      </x:c>
    </x:row>
    <x:row r="49">
      <x:c r="A49" s="61"/>
      <x:c r="B49" s="61"/>
      <x:c r="C49" s="61"/>
      <x:c r="D49" s="61"/>
      <x:c r="E49" s="61"/>
      <x:c r="F49" s="61"/>
      <x:c r="G49" s="70"/>
      <x:c r="H49" s="61"/>
      <x:c r="I49" s="61"/>
      <x:c r="J49" s="67" t="str">
        <x:f>IF(A49="","",IF(OR(B49="",C49="",D49="",E49="",F49="",G49="",H49=""),"Incomplete",IF(AND(H49&lt;&gt;"Closed",G49&lt;TODAY()),"Overdue",IF(H49="Closed",IF(I49="","Review required","Closed"),"Open"))))</x:f>
      </x:c>
    </x:row>
    <x:row r="50">
      <x:c r="A50" s="61"/>
      <x:c r="B50" s="61"/>
      <x:c r="C50" s="61"/>
      <x:c r="D50" s="61"/>
      <x:c r="E50" s="61"/>
      <x:c r="F50" s="61"/>
      <x:c r="G50" s="70"/>
      <x:c r="H50" s="61"/>
      <x:c r="I50" s="61"/>
      <x:c r="J50" s="67" t="str">
        <x:f>IF(A50="","",IF(OR(B50="",C50="",D50="",E50="",F50="",G50="",H50=""),"Incomplete",IF(AND(H50&lt;&gt;"Closed",G50&lt;TODAY()),"Overdue",IF(H50="Closed",IF(I50="","Review required","Closed"),"Open"))))</x:f>
      </x:c>
    </x:row>
    <x:row r="51">
      <x:c r="A51" s="61"/>
      <x:c r="B51" s="61"/>
      <x:c r="C51" s="61"/>
      <x:c r="D51" s="61"/>
      <x:c r="E51" s="61"/>
      <x:c r="F51" s="61"/>
      <x:c r="G51" s="70"/>
      <x:c r="H51" s="61"/>
      <x:c r="I51" s="61"/>
      <x:c r="J51" s="67" t="str">
        <x:f>IF(A51="","",IF(OR(B51="",C51="",D51="",E51="",F51="",G51="",H51=""),"Incomplete",IF(AND(H51&lt;&gt;"Closed",G51&lt;TODAY()),"Overdue",IF(H51="Closed",IF(I51="","Review required","Closed"),"Open"))))</x:f>
      </x:c>
    </x:row>
    <x:row r="52">
      <x:c r="A52" s="61"/>
      <x:c r="B52" s="61"/>
      <x:c r="C52" s="61"/>
      <x:c r="D52" s="61"/>
      <x:c r="E52" s="61"/>
      <x:c r="F52" s="61"/>
      <x:c r="G52" s="70"/>
      <x:c r="H52" s="61"/>
      <x:c r="I52" s="61"/>
      <x:c r="J52" s="67" t="str">
        <x:f>IF(A52="","",IF(OR(B52="",C52="",D52="",E52="",F52="",G52="",H52=""),"Incomplete",IF(AND(H52&lt;&gt;"Closed",G52&lt;TODAY()),"Overdue",IF(H52="Closed",IF(I52="","Review required","Closed"),"Open"))))</x:f>
      </x:c>
    </x:row>
    <x:row r="53">
      <x:c r="A53" s="61"/>
      <x:c r="B53" s="61"/>
      <x:c r="C53" s="61"/>
      <x:c r="D53" s="61"/>
      <x:c r="E53" s="61"/>
      <x:c r="F53" s="61"/>
      <x:c r="G53" s="70"/>
      <x:c r="H53" s="61"/>
      <x:c r="I53" s="61"/>
      <x:c r="J53" s="67" t="str">
        <x:f>IF(A53="","",IF(OR(B53="",C53="",D53="",E53="",F53="",G53="",H53=""),"Incomplete",IF(AND(H53&lt;&gt;"Closed",G53&lt;TODAY()),"Overdue",IF(H53="Closed",IF(I53="","Review required","Closed"),"Open"))))</x:f>
      </x:c>
    </x:row>
    <x:row r="54">
      <x:c r="A54" s="61"/>
      <x:c r="B54" s="61"/>
      <x:c r="C54" s="61"/>
      <x:c r="D54" s="61"/>
      <x:c r="E54" s="61"/>
      <x:c r="F54" s="61"/>
      <x:c r="G54" s="70"/>
      <x:c r="H54" s="61"/>
      <x:c r="I54" s="61"/>
      <x:c r="J54" s="67" t="str">
        <x:f>IF(A54="","",IF(OR(B54="",C54="",D54="",E54="",F54="",G54="",H54=""),"Incomplete",IF(AND(H54&lt;&gt;"Closed",G54&lt;TODAY()),"Overdue",IF(H54="Closed",IF(I54="","Review required","Closed"),"Open"))))</x:f>
      </x:c>
    </x:row>
    <x:row r="55">
      <x:c r="A55" s="61"/>
      <x:c r="B55" s="61"/>
      <x:c r="C55" s="61"/>
      <x:c r="D55" s="61"/>
      <x:c r="E55" s="61"/>
      <x:c r="F55" s="61"/>
      <x:c r="G55" s="70"/>
      <x:c r="H55" s="61"/>
      <x:c r="I55" s="61"/>
      <x:c r="J55" s="67" t="str">
        <x:f>IF(A55="","",IF(OR(B55="",C55="",D55="",E55="",F55="",G55="",H55=""),"Incomplete",IF(AND(H55&lt;&gt;"Closed",G55&lt;TODAY()),"Overdue",IF(H55="Closed",IF(I55="","Review required","Closed"),"Open"))))</x:f>
      </x:c>
    </x:row>
    <x:row r="56">
      <x:c r="A56" s="61"/>
      <x:c r="B56" s="61"/>
      <x:c r="C56" s="61"/>
      <x:c r="D56" s="61"/>
      <x:c r="E56" s="61"/>
      <x:c r="F56" s="61"/>
      <x:c r="G56" s="70"/>
      <x:c r="H56" s="61"/>
      <x:c r="I56" s="61"/>
      <x:c r="J56" s="67" t="str">
        <x:f>IF(A56="","",IF(OR(B56="",C56="",D56="",E56="",F56="",G56="",H56=""),"Incomplete",IF(AND(H56&lt;&gt;"Closed",G56&lt;TODAY()),"Overdue",IF(H56="Closed",IF(I56="","Review required","Closed"),"Open"))))</x:f>
      </x:c>
    </x:row>
    <x:row r="57">
      <x:c r="A57" s="61"/>
      <x:c r="B57" s="61"/>
      <x:c r="C57" s="61"/>
      <x:c r="D57" s="61"/>
      <x:c r="E57" s="61"/>
      <x:c r="F57" s="61"/>
      <x:c r="G57" s="70"/>
      <x:c r="H57" s="61"/>
      <x:c r="I57" s="61"/>
      <x:c r="J57" s="67" t="str">
        <x:f>IF(A57="","",IF(OR(B57="",C57="",D57="",E57="",F57="",G57="",H57=""),"Incomplete",IF(AND(H57&lt;&gt;"Closed",G57&lt;TODAY()),"Overdue",IF(H57="Closed",IF(I57="","Review required","Closed"),"Open"))))</x:f>
      </x:c>
    </x:row>
    <x:row r="58">
      <x:c r="A58" s="61"/>
      <x:c r="B58" s="61"/>
      <x:c r="C58" s="61"/>
      <x:c r="D58" s="61"/>
      <x:c r="E58" s="61"/>
      <x:c r="F58" s="61"/>
      <x:c r="G58" s="70"/>
      <x:c r="H58" s="61"/>
      <x:c r="I58" s="61"/>
      <x:c r="J58" s="67" t="str">
        <x:f>IF(A58="","",IF(OR(B58="",C58="",D58="",E58="",F58="",G58="",H58=""),"Incomplete",IF(AND(H58&lt;&gt;"Closed",G58&lt;TODAY()),"Overdue",IF(H58="Closed",IF(I58="","Review required","Closed"),"Open"))))</x:f>
      </x:c>
    </x:row>
    <x:row r="59">
      <x:c r="A59" s="61"/>
      <x:c r="B59" s="61"/>
      <x:c r="C59" s="61"/>
      <x:c r="D59" s="61"/>
      <x:c r="E59" s="61"/>
      <x:c r="F59" s="61"/>
      <x:c r="G59" s="70"/>
      <x:c r="H59" s="61"/>
      <x:c r="I59" s="61"/>
      <x:c r="J59" s="67" t="str">
        <x:f>IF(A59="","",IF(OR(B59="",C59="",D59="",E59="",F59="",G59="",H59=""),"Incomplete",IF(AND(H59&lt;&gt;"Closed",G59&lt;TODAY()),"Overdue",IF(H59="Closed",IF(I59="","Review required","Closed"),"Open"))))</x:f>
      </x:c>
    </x:row>
    <x:row r="60">
      <x:c r="A60" s="61"/>
      <x:c r="B60" s="61"/>
      <x:c r="C60" s="61"/>
      <x:c r="D60" s="61"/>
      <x:c r="E60" s="61"/>
      <x:c r="F60" s="61"/>
      <x:c r="G60" s="70"/>
      <x:c r="H60" s="61"/>
      <x:c r="I60" s="61"/>
      <x:c r="J60" s="67" t="str">
        <x:f>IF(A60="","",IF(OR(B60="",C60="",D60="",E60="",F60="",G60="",H60=""),"Incomplete",IF(AND(H60&lt;&gt;"Closed",G60&lt;TODAY()),"Overdue",IF(H60="Closed",IF(I60="","Review required","Closed"),"Open"))))</x:f>
      </x:c>
    </x:row>
    <x:row r="61">
      <x:c r="A61" s="61"/>
      <x:c r="B61" s="61"/>
      <x:c r="C61" s="61"/>
      <x:c r="D61" s="61"/>
      <x:c r="E61" s="61"/>
      <x:c r="F61" s="61"/>
      <x:c r="G61" s="70"/>
      <x:c r="H61" s="61"/>
      <x:c r="I61" s="61"/>
      <x:c r="J61" s="67" t="str">
        <x:f>IF(A61="","",IF(OR(B61="",C61="",D61="",E61="",F61="",G61="",H61=""),"Incomplete",IF(AND(H61&lt;&gt;"Closed",G61&lt;TODAY()),"Overdue",IF(H61="Closed",IF(I61="","Review required","Closed"),"Open"))))</x:f>
      </x:c>
    </x:row>
    <x:row r="62">
      <x:c r="A62" s="61"/>
      <x:c r="B62" s="61"/>
      <x:c r="C62" s="61"/>
      <x:c r="D62" s="61"/>
      <x:c r="E62" s="61"/>
      <x:c r="F62" s="61"/>
      <x:c r="G62" s="70"/>
      <x:c r="H62" s="61"/>
      <x:c r="I62" s="61"/>
      <x:c r="J62" s="67" t="str">
        <x:f>IF(A62="","",IF(OR(B62="",C62="",D62="",E62="",F62="",G62="",H62=""),"Incomplete",IF(AND(H62&lt;&gt;"Closed",G62&lt;TODAY()),"Overdue",IF(H62="Closed",IF(I62="","Review required","Closed"),"Open"))))</x:f>
      </x:c>
    </x:row>
    <x:row r="63">
      <x:c r="A63" s="61"/>
      <x:c r="B63" s="61"/>
      <x:c r="C63" s="61"/>
      <x:c r="D63" s="61"/>
      <x:c r="E63" s="61"/>
      <x:c r="F63" s="61"/>
      <x:c r="G63" s="70"/>
      <x:c r="H63" s="61"/>
      <x:c r="I63" s="61"/>
      <x:c r="J63" s="67" t="str">
        <x:f>IF(A63="","",IF(OR(B63="",C63="",D63="",E63="",F63="",G63="",H63=""),"Incomplete",IF(AND(H63&lt;&gt;"Closed",G63&lt;TODAY()),"Overdue",IF(H63="Closed",IF(I63="","Review required","Closed"),"Open"))))</x:f>
      </x:c>
    </x:row>
    <x:row r="64">
      <x:c r="A64" s="61"/>
      <x:c r="B64" s="61"/>
      <x:c r="C64" s="61"/>
      <x:c r="D64" s="61"/>
      <x:c r="E64" s="61"/>
      <x:c r="F64" s="61"/>
      <x:c r="G64" s="70"/>
      <x:c r="H64" s="61"/>
      <x:c r="I64" s="61"/>
      <x:c r="J64" s="67" t="str">
        <x:f>IF(A64="","",IF(OR(B64="",C64="",D64="",E64="",F64="",G64="",H64=""),"Incomplete",IF(AND(H64&lt;&gt;"Closed",G64&lt;TODAY()),"Overdue",IF(H64="Closed",IF(I64="","Review required","Closed"),"Open"))))</x:f>
      </x:c>
    </x:row>
    <x:row r="65">
      <x:c r="A65" s="61"/>
      <x:c r="B65" s="61"/>
      <x:c r="C65" s="61"/>
      <x:c r="D65" s="61"/>
      <x:c r="E65" s="61"/>
      <x:c r="F65" s="61"/>
      <x:c r="G65" s="70"/>
      <x:c r="H65" s="61"/>
      <x:c r="I65" s="61"/>
      <x:c r="J65" s="67" t="str">
        <x:f>IF(A65="","",IF(OR(B65="",C65="",D65="",E65="",F65="",G65="",H65=""),"Incomplete",IF(AND(H65&lt;&gt;"Closed",G65&lt;TODAY()),"Overdue",IF(H65="Closed",IF(I65="","Review required","Closed"),"Open"))))</x:f>
      </x:c>
    </x:row>
    <x:row r="66">
      <x:c r="A66" s="61"/>
      <x:c r="B66" s="61"/>
      <x:c r="C66" s="61"/>
      <x:c r="D66" s="61"/>
      <x:c r="E66" s="61"/>
      <x:c r="F66" s="61"/>
      <x:c r="G66" s="70"/>
      <x:c r="H66" s="61"/>
      <x:c r="I66" s="61"/>
      <x:c r="J66" s="67" t="str">
        <x:f>IF(A66="","",IF(OR(B66="",C66="",D66="",E66="",F66="",G66="",H66=""),"Incomplete",IF(AND(H66&lt;&gt;"Closed",G66&lt;TODAY()),"Overdue",IF(H66="Closed",IF(I66="","Review required","Closed"),"Open"))))</x:f>
      </x:c>
    </x:row>
    <x:row r="67">
      <x:c r="A67" s="61"/>
      <x:c r="B67" s="61"/>
      <x:c r="C67" s="61"/>
      <x:c r="D67" s="61"/>
      <x:c r="E67" s="61"/>
      <x:c r="F67" s="61"/>
      <x:c r="G67" s="70"/>
      <x:c r="H67" s="61"/>
      <x:c r="I67" s="61"/>
      <x:c r="J67" s="67" t="str">
        <x:f>IF(A67="","",IF(OR(B67="",C67="",D67="",E67="",F67="",G67="",H67=""),"Incomplete",IF(AND(H67&lt;&gt;"Closed",G67&lt;TODAY()),"Overdue",IF(H67="Closed",IF(I67="","Review required","Closed"),"Open"))))</x:f>
      </x:c>
    </x:row>
    <x:row r="68">
      <x:c r="A68" s="61"/>
      <x:c r="B68" s="61"/>
      <x:c r="C68" s="61"/>
      <x:c r="D68" s="61"/>
      <x:c r="E68" s="61"/>
      <x:c r="F68" s="61"/>
      <x:c r="G68" s="70"/>
      <x:c r="H68" s="61"/>
      <x:c r="I68" s="61"/>
      <x:c r="J68" s="67" t="str">
        <x:f>IF(A68="","",IF(OR(B68="",C68="",D68="",E68="",F68="",G68="",H68=""),"Incomplete",IF(AND(H68&lt;&gt;"Closed",G68&lt;TODAY()),"Overdue",IF(H68="Closed",IF(I68="","Review required","Closed"),"Open"))))</x:f>
      </x:c>
    </x:row>
    <x:row r="69">
      <x:c r="A69" s="61"/>
      <x:c r="B69" s="61"/>
      <x:c r="C69" s="61"/>
      <x:c r="D69" s="61"/>
      <x:c r="E69" s="61"/>
      <x:c r="F69" s="61"/>
      <x:c r="G69" s="70"/>
      <x:c r="H69" s="61"/>
      <x:c r="I69" s="61"/>
      <x:c r="J69" s="67" t="str">
        <x:f>IF(A69="","",IF(OR(B69="",C69="",D69="",E69="",F69="",G69="",H69=""),"Incomplete",IF(AND(H69&lt;&gt;"Closed",G69&lt;TODAY()),"Overdue",IF(H69="Closed",IF(I69="","Review required","Closed"),"Open"))))</x:f>
      </x:c>
    </x:row>
    <x:row r="70">
      <x:c r="A70" s="61"/>
      <x:c r="B70" s="61"/>
      <x:c r="C70" s="61"/>
      <x:c r="D70" s="61"/>
      <x:c r="E70" s="61"/>
      <x:c r="F70" s="61"/>
      <x:c r="G70" s="70"/>
      <x:c r="H70" s="61"/>
      <x:c r="I70" s="61"/>
      <x:c r="J70" s="67" t="str">
        <x:f>IF(A70="","",IF(OR(B70="",C70="",D70="",E70="",F70="",G70="",H70=""),"Incomplete",IF(AND(H70&lt;&gt;"Closed",G70&lt;TODAY()),"Overdue",IF(H70="Closed",IF(I70="","Review required","Closed"),"Open"))))</x:f>
      </x:c>
    </x:row>
    <x:row r="71">
      <x:c r="A71" s="61"/>
      <x:c r="B71" s="61"/>
      <x:c r="C71" s="61"/>
      <x:c r="D71" s="61"/>
      <x:c r="E71" s="61"/>
      <x:c r="F71" s="61"/>
      <x:c r="G71" s="70"/>
      <x:c r="H71" s="61"/>
      <x:c r="I71" s="61"/>
      <x:c r="J71" s="67" t="str">
        <x:f>IF(A71="","",IF(OR(B71="",C71="",D71="",E71="",F71="",G71="",H71=""),"Incomplete",IF(AND(H71&lt;&gt;"Closed",G71&lt;TODAY()),"Overdue",IF(H71="Closed",IF(I71="","Review required","Closed"),"Open"))))</x:f>
      </x:c>
    </x:row>
    <x:row r="72">
      <x:c r="A72" s="61"/>
      <x:c r="B72" s="61"/>
      <x:c r="C72" s="61"/>
      <x:c r="D72" s="61"/>
      <x:c r="E72" s="61"/>
      <x:c r="F72" s="61"/>
      <x:c r="G72" s="70"/>
      <x:c r="H72" s="61"/>
      <x:c r="I72" s="61"/>
      <x:c r="J72" s="67" t="str">
        <x:f>IF(A72="","",IF(OR(B72="",C72="",D72="",E72="",F72="",G72="",H72=""),"Incomplete",IF(AND(H72&lt;&gt;"Closed",G72&lt;TODAY()),"Overdue",IF(H72="Closed",IF(I72="","Review required","Closed"),"Open"))))</x:f>
      </x:c>
    </x:row>
    <x:row r="73">
      <x:c r="A73" s="61"/>
      <x:c r="B73" s="61"/>
      <x:c r="C73" s="61"/>
      <x:c r="D73" s="61"/>
      <x:c r="E73" s="61"/>
      <x:c r="F73" s="61"/>
      <x:c r="G73" s="70"/>
      <x:c r="H73" s="61"/>
      <x:c r="I73" s="61"/>
      <x:c r="J73" s="67" t="str">
        <x:f>IF(A73="","",IF(OR(B73="",C73="",D73="",E73="",F73="",G73="",H73=""),"Incomplete",IF(AND(H73&lt;&gt;"Closed",G73&lt;TODAY()),"Overdue",IF(H73="Closed",IF(I73="","Review required","Closed"),"Open"))))</x:f>
      </x:c>
    </x:row>
    <x:row r="74">
      <x:c r="A74" s="61"/>
      <x:c r="B74" s="61"/>
      <x:c r="C74" s="61"/>
      <x:c r="D74" s="61"/>
      <x:c r="E74" s="61"/>
      <x:c r="F74" s="61"/>
      <x:c r="G74" s="70"/>
      <x:c r="H74" s="61"/>
      <x:c r="I74" s="61"/>
      <x:c r="J74" s="67" t="str">
        <x:f>IF(A74="","",IF(OR(B74="",C74="",D74="",E74="",F74="",G74="",H74=""),"Incomplete",IF(AND(H74&lt;&gt;"Closed",G74&lt;TODAY()),"Overdue",IF(H74="Closed",IF(I74="","Review required","Closed"),"Open"))))</x:f>
      </x:c>
    </x:row>
    <x:row r="75">
      <x:c r="A75" s="61"/>
      <x:c r="B75" s="61"/>
      <x:c r="C75" s="61"/>
      <x:c r="D75" s="61"/>
      <x:c r="E75" s="61"/>
      <x:c r="F75" s="61"/>
      <x:c r="G75" s="70"/>
      <x:c r="H75" s="61"/>
      <x:c r="I75" s="61"/>
      <x:c r="J75" s="67" t="str">
        <x:f>IF(A75="","",IF(OR(B75="",C75="",D75="",E75="",F75="",G75="",H75=""),"Incomplete",IF(AND(H75&lt;&gt;"Closed",G75&lt;TODAY()),"Overdue",IF(H75="Closed",IF(I75="","Review required","Closed"),"Open"))))</x:f>
      </x:c>
    </x:row>
    <x:row r="76">
      <x:c r="A76" s="61"/>
      <x:c r="B76" s="61"/>
      <x:c r="C76" s="61"/>
      <x:c r="D76" s="61"/>
      <x:c r="E76" s="61"/>
      <x:c r="F76" s="61"/>
      <x:c r="G76" s="70"/>
      <x:c r="H76" s="61"/>
      <x:c r="I76" s="61"/>
      <x:c r="J76" s="67" t="str">
        <x:f>IF(A76="","",IF(OR(B76="",C76="",D76="",E76="",F76="",G76="",H76=""),"Incomplete",IF(AND(H76&lt;&gt;"Closed",G76&lt;TODAY()),"Overdue",IF(H76="Closed",IF(I76="","Review required","Closed"),"Open"))))</x:f>
      </x:c>
    </x:row>
    <x:row r="77">
      <x:c r="A77" s="61"/>
      <x:c r="B77" s="61"/>
      <x:c r="C77" s="61"/>
      <x:c r="D77" s="61"/>
      <x:c r="E77" s="61"/>
      <x:c r="F77" s="61"/>
      <x:c r="G77" s="70"/>
      <x:c r="H77" s="61"/>
      <x:c r="I77" s="61"/>
      <x:c r="J77" s="67" t="str">
        <x:f>IF(A77="","",IF(OR(B77="",C77="",D77="",E77="",F77="",G77="",H77=""),"Incomplete",IF(AND(H77&lt;&gt;"Closed",G77&lt;TODAY()),"Overdue",IF(H77="Closed",IF(I77="","Review required","Closed"),"Open"))))</x:f>
      </x:c>
    </x:row>
    <x:row r="78">
      <x:c r="A78" s="61"/>
      <x:c r="B78" s="61"/>
      <x:c r="C78" s="61"/>
      <x:c r="D78" s="61"/>
      <x:c r="E78" s="61"/>
      <x:c r="F78" s="61"/>
      <x:c r="G78" s="70"/>
      <x:c r="H78" s="61"/>
      <x:c r="I78" s="61"/>
      <x:c r="J78" s="67" t="str">
        <x:f>IF(A78="","",IF(OR(B78="",C78="",D78="",E78="",F78="",G78="",H78=""),"Incomplete",IF(AND(H78&lt;&gt;"Closed",G78&lt;TODAY()),"Overdue",IF(H78="Closed",IF(I78="","Review required","Closed"),"Open"))))</x:f>
      </x:c>
    </x:row>
    <x:row r="79">
      <x:c r="A79" s="61"/>
      <x:c r="B79" s="61"/>
      <x:c r="C79" s="61"/>
      <x:c r="D79" s="61"/>
      <x:c r="E79" s="61"/>
      <x:c r="F79" s="61"/>
      <x:c r="G79" s="70"/>
      <x:c r="H79" s="61"/>
      <x:c r="I79" s="61"/>
      <x:c r="J79" s="67" t="str">
        <x:f>IF(A79="","",IF(OR(B79="",C79="",D79="",E79="",F79="",G79="",H79=""),"Incomplete",IF(AND(H79&lt;&gt;"Closed",G79&lt;TODAY()),"Overdue",IF(H79="Closed",IF(I79="","Review required","Closed"),"Open"))))</x:f>
      </x:c>
    </x:row>
    <x:row r="80">
      <x:c r="A80" s="61"/>
      <x:c r="B80" s="61"/>
      <x:c r="C80" s="61"/>
      <x:c r="D80" s="61"/>
      <x:c r="E80" s="61"/>
      <x:c r="F80" s="61"/>
      <x:c r="G80" s="70"/>
      <x:c r="H80" s="61"/>
      <x:c r="I80" s="61"/>
      <x:c r="J80" s="67" t="str">
        <x:f>IF(A80="","",IF(OR(B80="",C80="",D80="",E80="",F80="",G80="",H80=""),"Incomplete",IF(AND(H80&lt;&gt;"Closed",G80&lt;TODAY()),"Overdue",IF(H80="Closed",IF(I80="","Review required","Closed"),"Open"))))</x:f>
      </x:c>
    </x:row>
    <x:row r="81">
      <x:c r="A81" s="61"/>
      <x:c r="B81" s="61"/>
      <x:c r="C81" s="61"/>
      <x:c r="D81" s="61"/>
      <x:c r="E81" s="61"/>
      <x:c r="F81" s="61"/>
      <x:c r="G81" s="70"/>
      <x:c r="H81" s="61"/>
      <x:c r="I81" s="61"/>
      <x:c r="J81" s="67" t="str">
        <x:f>IF(A81="","",IF(OR(B81="",C81="",D81="",E81="",F81="",G81="",H81=""),"Incomplete",IF(AND(H81&lt;&gt;"Closed",G81&lt;TODAY()),"Overdue",IF(H81="Closed",IF(I81="","Review required","Closed"),"Open"))))</x:f>
      </x:c>
    </x:row>
    <x:row r="82">
      <x:c r="A82" s="61"/>
      <x:c r="B82" s="61"/>
      <x:c r="C82" s="61"/>
      <x:c r="D82" s="61"/>
      <x:c r="E82" s="61"/>
      <x:c r="F82" s="61"/>
      <x:c r="G82" s="70"/>
      <x:c r="H82" s="61"/>
      <x:c r="I82" s="61"/>
      <x:c r="J82" s="67" t="str">
        <x:f>IF(A82="","",IF(OR(B82="",C82="",D82="",E82="",F82="",G82="",H82=""),"Incomplete",IF(AND(H82&lt;&gt;"Closed",G82&lt;TODAY()),"Overdue",IF(H82="Closed",IF(I82="","Review required","Closed"),"Open"))))</x:f>
      </x:c>
    </x:row>
    <x:row r="83">
      <x:c r="A83" s="61"/>
      <x:c r="B83" s="61"/>
      <x:c r="C83" s="61"/>
      <x:c r="D83" s="61"/>
      <x:c r="E83" s="61"/>
      <x:c r="F83" s="61"/>
      <x:c r="G83" s="70"/>
      <x:c r="H83" s="61"/>
      <x:c r="I83" s="61"/>
      <x:c r="J83" s="67" t="str">
        <x:f>IF(A83="","",IF(OR(B83="",C83="",D83="",E83="",F83="",G83="",H83=""),"Incomplete",IF(AND(H83&lt;&gt;"Closed",G83&lt;TODAY()),"Overdue",IF(H83="Closed",IF(I83="","Review required","Closed"),"Open"))))</x:f>
      </x:c>
    </x:row>
    <x:row r="84">
      <x:c r="A84" s="61"/>
      <x:c r="B84" s="61"/>
      <x:c r="C84" s="61"/>
      <x:c r="D84" s="61"/>
      <x:c r="E84" s="61"/>
      <x:c r="F84" s="61"/>
      <x:c r="G84" s="70"/>
      <x:c r="H84" s="61"/>
      <x:c r="I84" s="61"/>
      <x:c r="J84" s="67" t="str">
        <x:f>IF(A84="","",IF(OR(B84="",C84="",D84="",E84="",F84="",G84="",H84=""),"Incomplete",IF(AND(H84&lt;&gt;"Closed",G84&lt;TODAY()),"Overdue",IF(H84="Closed",IF(I84="","Review required","Closed"),"Open"))))</x:f>
      </x:c>
    </x:row>
    <x:row r="85">
      <x:c r="A85" s="61"/>
      <x:c r="B85" s="61"/>
      <x:c r="C85" s="61"/>
      <x:c r="D85" s="61"/>
      <x:c r="E85" s="61"/>
      <x:c r="F85" s="61"/>
      <x:c r="G85" s="70"/>
      <x:c r="H85" s="61"/>
      <x:c r="I85" s="61"/>
      <x:c r="J85" s="67" t="str">
        <x:f>IF(A85="","",IF(OR(B85="",C85="",D85="",E85="",F85="",G85="",H85=""),"Incomplete",IF(AND(H85&lt;&gt;"Closed",G85&lt;TODAY()),"Overdue",IF(H85="Closed",IF(I85="","Review required","Closed"),"Open"))))</x:f>
      </x:c>
    </x:row>
    <x:row r="86">
      <x:c r="A86" s="61"/>
      <x:c r="B86" s="61"/>
      <x:c r="C86" s="61"/>
      <x:c r="D86" s="61"/>
      <x:c r="E86" s="61"/>
      <x:c r="F86" s="61"/>
      <x:c r="G86" s="70"/>
      <x:c r="H86" s="61"/>
      <x:c r="I86" s="61"/>
      <x:c r="J86" s="67" t="str">
        <x:f>IF(A86="","",IF(OR(B86="",C86="",D86="",E86="",F86="",G86="",H86=""),"Incomplete",IF(AND(H86&lt;&gt;"Closed",G86&lt;TODAY()),"Overdue",IF(H86="Closed",IF(I86="","Review required","Closed"),"Open"))))</x:f>
      </x:c>
    </x:row>
    <x:row r="87">
      <x:c r="A87" s="61"/>
      <x:c r="B87" s="61"/>
      <x:c r="C87" s="61"/>
      <x:c r="D87" s="61"/>
      <x:c r="E87" s="61"/>
      <x:c r="F87" s="61"/>
      <x:c r="G87" s="70"/>
      <x:c r="H87" s="61"/>
      <x:c r="I87" s="61"/>
      <x:c r="J87" s="67" t="str">
        <x:f>IF(A87="","",IF(OR(B87="",C87="",D87="",E87="",F87="",G87="",H87=""),"Incomplete",IF(AND(H87&lt;&gt;"Closed",G87&lt;TODAY()),"Overdue",IF(H87="Closed",IF(I87="","Review required","Closed"),"Open"))))</x:f>
      </x:c>
    </x:row>
    <x:row r="88">
      <x:c r="A88" s="61"/>
      <x:c r="B88" s="61"/>
      <x:c r="C88" s="61"/>
      <x:c r="D88" s="61"/>
      <x:c r="E88" s="61"/>
      <x:c r="F88" s="61"/>
      <x:c r="G88" s="70"/>
      <x:c r="H88" s="61"/>
      <x:c r="I88" s="61"/>
      <x:c r="J88" s="67" t="str">
        <x:f>IF(A88="","",IF(OR(B88="",C88="",D88="",E88="",F88="",G88="",H88=""),"Incomplete",IF(AND(H88&lt;&gt;"Closed",G88&lt;TODAY()),"Overdue",IF(H88="Closed",IF(I88="","Review required","Closed"),"Open"))))</x:f>
      </x:c>
    </x:row>
    <x:row r="89">
      <x:c r="A89" s="61"/>
      <x:c r="B89" s="61"/>
      <x:c r="C89" s="61"/>
      <x:c r="D89" s="61"/>
      <x:c r="E89" s="61"/>
      <x:c r="F89" s="61"/>
      <x:c r="G89" s="70"/>
      <x:c r="H89" s="61"/>
      <x:c r="I89" s="61"/>
      <x:c r="J89" s="67" t="str">
        <x:f>IF(A89="","",IF(OR(B89="",C89="",D89="",E89="",F89="",G89="",H89=""),"Incomplete",IF(AND(H89&lt;&gt;"Closed",G89&lt;TODAY()),"Overdue",IF(H89="Closed",IF(I89="","Review required","Closed"),"Open"))))</x:f>
      </x:c>
    </x:row>
    <x:row r="90">
      <x:c r="A90" s="61"/>
      <x:c r="B90" s="61"/>
      <x:c r="C90" s="61"/>
      <x:c r="D90" s="61"/>
      <x:c r="E90" s="61"/>
      <x:c r="F90" s="61"/>
      <x:c r="G90" s="70"/>
      <x:c r="H90" s="61"/>
      <x:c r="I90" s="61"/>
      <x:c r="J90" s="67" t="str">
        <x:f>IF(A90="","",IF(OR(B90="",C90="",D90="",E90="",F90="",G90="",H90=""),"Incomplete",IF(AND(H90&lt;&gt;"Closed",G90&lt;TODAY()),"Overdue",IF(H90="Closed",IF(I90="","Review required","Closed"),"Open"))))</x:f>
      </x:c>
    </x:row>
    <x:row r="91">
      <x:c r="A91" s="61"/>
      <x:c r="B91" s="61"/>
      <x:c r="C91" s="61"/>
      <x:c r="D91" s="61"/>
      <x:c r="E91" s="61"/>
      <x:c r="F91" s="61"/>
      <x:c r="G91" s="70"/>
      <x:c r="H91" s="61"/>
      <x:c r="I91" s="61"/>
      <x:c r="J91" s="67" t="str">
        <x:f>IF(A91="","",IF(OR(B91="",C91="",D91="",E91="",F91="",G91="",H91=""),"Incomplete",IF(AND(H91&lt;&gt;"Closed",G91&lt;TODAY()),"Overdue",IF(H91="Closed",IF(I91="","Review required","Closed"),"Open"))))</x:f>
      </x:c>
    </x:row>
    <x:row r="92">
      <x:c r="A92" s="61"/>
      <x:c r="B92" s="61"/>
      <x:c r="C92" s="61"/>
      <x:c r="D92" s="61"/>
      <x:c r="E92" s="61"/>
      <x:c r="F92" s="61"/>
      <x:c r="G92" s="70"/>
      <x:c r="H92" s="61"/>
      <x:c r="I92" s="61"/>
      <x:c r="J92" s="67" t="str">
        <x:f>IF(A92="","",IF(OR(B92="",C92="",D92="",E92="",F92="",G92="",H92=""),"Incomplete",IF(AND(H92&lt;&gt;"Closed",G92&lt;TODAY()),"Overdue",IF(H92="Closed",IF(I92="","Review required","Closed"),"Open"))))</x:f>
      </x:c>
    </x:row>
    <x:row r="93">
      <x:c r="A93" s="61"/>
      <x:c r="B93" s="61"/>
      <x:c r="C93" s="61"/>
      <x:c r="D93" s="61"/>
      <x:c r="E93" s="61"/>
      <x:c r="F93" s="61"/>
      <x:c r="G93" s="70"/>
      <x:c r="H93" s="61"/>
      <x:c r="I93" s="61"/>
      <x:c r="J93" s="67" t="str">
        <x:f>IF(A93="","",IF(OR(B93="",C93="",D93="",E93="",F93="",G93="",H93=""),"Incomplete",IF(AND(H93&lt;&gt;"Closed",G93&lt;TODAY()),"Overdue",IF(H93="Closed",IF(I93="","Review required","Closed"),"Open"))))</x:f>
      </x:c>
    </x:row>
    <x:row r="94">
      <x:c r="A94" s="61"/>
      <x:c r="B94" s="61"/>
      <x:c r="C94" s="61"/>
      <x:c r="D94" s="61"/>
      <x:c r="E94" s="61"/>
      <x:c r="F94" s="61"/>
      <x:c r="G94" s="70"/>
      <x:c r="H94" s="61"/>
      <x:c r="I94" s="61"/>
      <x:c r="J94" s="67" t="str">
        <x:f>IF(A94="","",IF(OR(B94="",C94="",D94="",E94="",F94="",G94="",H94=""),"Incomplete",IF(AND(H94&lt;&gt;"Closed",G94&lt;TODAY()),"Overdue",IF(H94="Closed",IF(I94="","Review required","Closed"),"Open"))))</x:f>
      </x:c>
    </x:row>
    <x:row r="95">
      <x:c r="A95" s="61"/>
      <x:c r="B95" s="61"/>
      <x:c r="C95" s="61"/>
      <x:c r="D95" s="61"/>
      <x:c r="E95" s="61"/>
      <x:c r="F95" s="61"/>
      <x:c r="G95" s="70"/>
      <x:c r="H95" s="61"/>
      <x:c r="I95" s="61"/>
      <x:c r="J95" s="67" t="str">
        <x:f>IF(A95="","",IF(OR(B95="",C95="",D95="",E95="",F95="",G95="",H95=""),"Incomplete",IF(AND(H95&lt;&gt;"Closed",G95&lt;TODAY()),"Overdue",IF(H95="Closed",IF(I95="","Review required","Closed"),"Open"))))</x:f>
      </x:c>
    </x:row>
    <x:row r="96">
      <x:c r="A96" s="61"/>
      <x:c r="B96" s="61"/>
      <x:c r="C96" s="61"/>
      <x:c r="D96" s="61"/>
      <x:c r="E96" s="61"/>
      <x:c r="F96" s="61"/>
      <x:c r="G96" s="70"/>
      <x:c r="H96" s="61"/>
      <x:c r="I96" s="61"/>
      <x:c r="J96" s="67" t="str">
        <x:f>IF(A96="","",IF(OR(B96="",C96="",D96="",E96="",F96="",G96="",H96=""),"Incomplete",IF(AND(H96&lt;&gt;"Closed",G96&lt;TODAY()),"Overdue",IF(H96="Closed",IF(I96="","Review required","Closed"),"Open"))))</x:f>
      </x:c>
    </x:row>
    <x:row r="97">
      <x:c r="A97" s="61"/>
      <x:c r="B97" s="61"/>
      <x:c r="C97" s="61"/>
      <x:c r="D97" s="61"/>
      <x:c r="E97" s="61"/>
      <x:c r="F97" s="61"/>
      <x:c r="G97" s="70"/>
      <x:c r="H97" s="61"/>
      <x:c r="I97" s="61"/>
      <x:c r="J97" s="67" t="str">
        <x:f>IF(A97="","",IF(OR(B97="",C97="",D97="",E97="",F97="",G97="",H97=""),"Incomplete",IF(AND(H97&lt;&gt;"Closed",G97&lt;TODAY()),"Overdue",IF(H97="Closed",IF(I97="","Review required","Closed"),"Open"))))</x:f>
      </x:c>
    </x:row>
    <x:row r="98">
      <x:c r="A98" s="61"/>
      <x:c r="B98" s="61"/>
      <x:c r="C98" s="61"/>
      <x:c r="D98" s="61"/>
      <x:c r="E98" s="61"/>
      <x:c r="F98" s="61"/>
      <x:c r="G98" s="70"/>
      <x:c r="H98" s="61"/>
      <x:c r="I98" s="61"/>
      <x:c r="J98" s="67" t="str">
        <x:f>IF(A98="","",IF(OR(B98="",C98="",D98="",E98="",F98="",G98="",H98=""),"Incomplete",IF(AND(H98&lt;&gt;"Closed",G98&lt;TODAY()),"Overdue",IF(H98="Closed",IF(I98="","Review required","Closed"),"Open"))))</x:f>
      </x:c>
    </x:row>
    <x:row r="99">
      <x:c r="A99" s="61"/>
      <x:c r="B99" s="61"/>
      <x:c r="C99" s="61"/>
      <x:c r="D99" s="61"/>
      <x:c r="E99" s="61"/>
      <x:c r="F99" s="61"/>
      <x:c r="G99" s="70"/>
      <x:c r="H99" s="61"/>
      <x:c r="I99" s="61"/>
      <x:c r="J99" s="67" t="str">
        <x:f>IF(A99="","",IF(OR(B99="",C99="",D99="",E99="",F99="",G99="",H99=""),"Incomplete",IF(AND(H99&lt;&gt;"Closed",G99&lt;TODAY()),"Overdue",IF(H99="Closed",IF(I99="","Review required","Closed"),"Open"))))</x:f>
      </x:c>
    </x:row>
    <x:row r="100">
      <x:c r="A100" s="61"/>
      <x:c r="B100" s="61"/>
      <x:c r="C100" s="61"/>
      <x:c r="D100" s="61"/>
      <x:c r="E100" s="61"/>
      <x:c r="F100" s="61"/>
      <x:c r="G100" s="70"/>
      <x:c r="H100" s="61"/>
      <x:c r="I100" s="61"/>
      <x:c r="J100" s="67" t="str">
        <x:f>IF(A100="","",IF(OR(B100="",C100="",D100="",E100="",F100="",G100="",H100=""),"Incomplete",IF(AND(H100&lt;&gt;"Closed",G100&lt;TODAY()),"Overdue",IF(H100="Closed",IF(I100="","Review required","Closed"),"Open"))))</x:f>
      </x:c>
    </x:row>
    <x:row r="101">
      <x:c r="A101" s="61"/>
      <x:c r="B101" s="61"/>
      <x:c r="C101" s="61"/>
      <x:c r="D101" s="61"/>
      <x:c r="E101" s="61"/>
      <x:c r="F101" s="61"/>
      <x:c r="G101" s="70"/>
      <x:c r="H101" s="61"/>
      <x:c r="I101" s="61"/>
      <x:c r="J101" s="67" t="str">
        <x:f>IF(A101="","",IF(OR(B101="",C101="",D101="",E101="",F101="",G101="",H101=""),"Incomplete",IF(AND(H101&lt;&gt;"Closed",G101&lt;TODAY()),"Overdue",IF(H101="Closed",IF(I101="","Review required","Closed"),"Open"))))</x:f>
      </x:c>
    </x:row>
    <x:row r="102">
      <x:c r="A102" s="61"/>
      <x:c r="B102" s="61"/>
      <x:c r="C102" s="61"/>
      <x:c r="D102" s="61"/>
      <x:c r="E102" s="61"/>
      <x:c r="F102" s="61"/>
      <x:c r="G102" s="70"/>
      <x:c r="H102" s="61"/>
      <x:c r="I102" s="61"/>
      <x:c r="J102" s="67" t="str">
        <x:f>IF(A102="","",IF(OR(B102="",C102="",D102="",E102="",F102="",G102="",H102=""),"Incomplete",IF(AND(H102&lt;&gt;"Closed",G102&lt;TODAY()),"Overdue",IF(H102="Closed",IF(I102="","Review required","Closed"),"Open"))))</x:f>
      </x:c>
    </x:row>
    <x:row r="103">
      <x:c r="A103" s="61"/>
      <x:c r="B103" s="61"/>
      <x:c r="C103" s="61"/>
      <x:c r="D103" s="61"/>
      <x:c r="E103" s="61"/>
      <x:c r="F103" s="61"/>
      <x:c r="G103" s="70"/>
      <x:c r="H103" s="61"/>
      <x:c r="I103" s="61"/>
      <x:c r="J103" s="67" t="str">
        <x:f>IF(A103="","",IF(OR(B103="",C103="",D103="",E103="",F103="",G103="",H103=""),"Incomplete",IF(AND(H103&lt;&gt;"Closed",G103&lt;TODAY()),"Overdue",IF(H103="Closed",IF(I103="","Review required","Closed"),"Open"))))</x:f>
      </x:c>
    </x:row>
    <x:row r="104">
      <x:c r="A104" s="61"/>
      <x:c r="B104" s="61"/>
      <x:c r="C104" s="61"/>
      <x:c r="D104" s="61"/>
      <x:c r="E104" s="61"/>
      <x:c r="F104" s="61"/>
      <x:c r="G104" s="70"/>
      <x:c r="H104" s="61"/>
      <x:c r="I104" s="61"/>
      <x:c r="J104" s="67" t="str">
        <x:f>IF(A104="","",IF(OR(B104="",C104="",D104="",E104="",F104="",G104="",H104=""),"Incomplete",IF(AND(H104&lt;&gt;"Closed",G104&lt;TODAY()),"Overdue",IF(H104="Closed",IF(I104="","Review required","Closed"),"Open"))))</x:f>
      </x:c>
    </x:row>
    <x:row r="105">
      <x:c r="A105" s="62"/>
      <x:c r="B105" s="62"/>
      <x:c r="C105" s="62"/>
      <x:c r="D105" s="62"/>
      <x:c r="E105" s="62"/>
      <x:c r="F105" s="62"/>
      <x:c r="G105" s="71"/>
      <x:c r="H105" s="62"/>
      <x:c r="I105" s="62"/>
      <x:c r="J105" s="68" t="str">
        <x:f>IF(A105="","",IF(OR(B105="",C105="",D105="",E105="",F105="",G105="",H105=""),"Incomplete",IF(AND(H105&lt;&gt;"Closed",G105&lt;TODAY()),"Overdue",IF(H105="Closed",IF(I105="","Review required","Closed"),"Open"))))</x:f>
      </x:c>
    </x:row>
  </x:sheetData>
  <x:mergeCells>
    <x:mergeCell ref="A1:J1"/>
    <x:mergeCell ref="A2:J2"/>
  </x:mergeCells>
  <x:conditionalFormatting sqref="J6:J105">
    <x:cfRule type="containsText" dxfId="49" priority="1" operator="containsText" text="Incomplete"/>
    <x:cfRule type="containsText" dxfId="50" priority="2" operator="containsText" text="Evidence required"/>
    <x:cfRule type="containsText" dxfId="51" priority="3" operator="containsText" text="Review required"/>
    <x:cfRule type="containsText" dxfId="52" priority="4" operator="containsText" text="Open"/>
    <x:cfRule type="containsText" dxfId="53" priority="5" operator="containsText" text="Overdue"/>
    <x:cfRule type="containsText" dxfId="54" priority="6" operator="containsText" text="Ready"/>
    <x:cfRule type="containsText" dxfId="55" priority="7" operator="containsText" text="Closed"/>
  </x:conditionalFormatting>
  <x:dataValidations count="3">
    <x:dataValidation type="list" sqref="D6:D105">
      <x:formula1>"Evidence request,Study,Review,Control change,Monitoring,Comparability,Validation,Regulatory assessment,Decision"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4" hidden="0" customWidth="1"/>
    <x:col min="4" max="4" width="30" hidden="0" customWidth="1"/>
    <x:col min="5" max="5" width="60" hidden="0" customWidth="1"/>
    <x:col min="6" max="6" width="40" hidden="0" customWidth="1"/>
    <x:col min="7" max="7" width="46" hidden="0" customWidth="1"/>
    <x:col min="8" max="8" width="30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revision watch, review roles, controlled-use boundary, and document control</x:v>
      </x:c>
      <x:c r="B2" s="7"/>
      <x:c r="C2" s="7"/>
      <x:c r="D2" s="7"/>
      <x:c r="E2" s="7"/>
      <x:c r="F2" s="7"/>
      <x:c r="G2" s="7"/>
      <x:c r="H2" s="7"/>
    </x:row>
    <x:row r="4">
      <x:c r="A4" s="20" t="str">
        <x:v>Package version</x:v>
      </x:c>
      <x:c r="B4" s="72" t="str">
        <x:v>1.0.0-review</x:v>
      </x:c>
      <x:c r="C4" s="72"/>
      <x:c r="D4" s="72"/>
      <x:c r="E4" s="72"/>
      <x:c r="F4" s="72"/>
      <x:c r="G4" s="72"/>
      <x:c r="H4" s="72"/>
    </x:row>
    <x:row r="5">
      <x:c r="A5" s="20" t="str">
        <x:v>Review status</x:v>
      </x:c>
      <x:c r="B5" s="72" t="str">
        <x:v>Under review</x:v>
      </x:c>
      <x:c r="C5" s="72"/>
      <x:c r="D5" s="72"/>
      <x:c r="E5" s="72"/>
      <x:c r="F5" s="72"/>
      <x:c r="G5" s="72"/>
      <x:c r="H5" s="72"/>
    </x:row>
    <x:row r="6">
      <x:c r="A6" s="20" t="str">
        <x:v>Applicability and limitations</x:v>
      </x:c>
      <x:c r="B6" s="72" t="str">
        <x:v>Cell-culture-derived, well-characterized proteins/polypeptides within cited scope; route, presentation, sterile process, region, filing, and product-specific decisions require separate evidence.</x:v>
      </x:c>
      <x:c r="C6" s="72"/>
      <x:c r="D6" s="72"/>
      <x:c r="E6" s="72"/>
      <x:c r="F6" s="72"/>
      <x:c r="G6" s="72"/>
      <x:c r="H6" s="72"/>
    </x:row>
    <x:row r="7">
      <x:c r="A7" s="20" t="str">
        <x:v>Reviewed by role</x:v>
      </x:c>
      <x:c r="B7" s="72" t="str">
        <x:v>Pending: formulation/product quality, fill-finish/MSAT, analytical/stability, container engineering, quality/validation, and regulatory CMC.</x:v>
      </x:c>
      <x:c r="C7" s="72"/>
      <x:c r="D7" s="72"/>
      <x:c r="E7" s="72"/>
      <x:c r="F7" s="72"/>
      <x:c r="G7" s="72"/>
      <x:c r="H7" s="72"/>
    </x:row>
    <x:row r="8">
      <x:c r="A8" s="20" t="str">
        <x:v>Controlled-use boundary</x:v>
      </x:c>
      <x:c r="B8" s="72" t="str">
        <x:v>Not a controlled formulation, process, protocol, study report, change record, filing, validation, or batch-disposition system.</x:v>
      </x:c>
      <x:c r="C8" s="72"/>
      <x:c r="D8" s="72"/>
      <x:c r="E8" s="72"/>
      <x:c r="F8" s="72"/>
      <x:c r="G8" s="72"/>
      <x:c r="H8" s="72"/>
    </x:row>
    <x:row r="9">
      <x:c r="A9" s="20" t="str">
        <x:v>Numeric claim policy</x:v>
      </x:c>
      <x:c r="B9" s="72" t="str">
        <x:v>No generic composition, concentration, parameter, hold, storage/shipping condition, schedule, limit, criterion, or shelf life is supplied.</x:v>
      </x:c>
      <x:c r="C9" s="72"/>
      <x:c r="D9" s="72"/>
      <x:c r="E9" s="72"/>
      <x:c r="F9" s="72"/>
      <x:c r="G9" s="72"/>
      <x:c r="H9" s="72"/>
    </x:row>
    <x:row r="10">
      <x:c r="A10" s="20" t="str">
        <x:v>Evidence-system boundary</x:v>
      </x:c>
      <x:c r="B10" s="72" t="str">
        <x:v>Sterility assurance, molecular stability, container suitability/integrity, shipping qualification, and comparability are connected but distinct evidence systems.</x:v>
      </x:c>
      <x:c r="C10" s="72"/>
      <x:c r="D10" s="72"/>
      <x:c r="E10" s="72"/>
      <x:c r="F10" s="72"/>
      <x:c r="G10" s="72"/>
      <x:c r="H10" s="72"/>
    </x:row>
    <x:row r="11">
      <x:c r="A11" s="20" t="str">
        <x:v>Revision watch</x:v>
      </x:c>
      <x:c r="B11" s="72" t="str">
        <x:v>The consolidated ICH Q1 guideline is draft revision activity and is not represented as the effective replacement for Q1A-F or Q5C.</x:v>
      </x:c>
      <x:c r="C11" s="72"/>
      <x:c r="D11" s="72"/>
      <x:c r="E11" s="72"/>
      <x:c r="F11" s="72"/>
      <x:c r="G11" s="72"/>
      <x:c r="H11" s="72"/>
    </x:row>
    <x:row r="13" ht="34" customHeight="1">
      <x:c r="A13" s="47" t="str">
        <x:v>Source ID</x:v>
      </x:c>
      <x:c r="B13" s="48" t="str">
        <x:v>Publisher</x:v>
      </x:c>
      <x:c r="C13" s="48" t="str">
        <x:v>Title</x:v>
      </x:c>
      <x:c r="D13" s="48" t="str">
        <x:v>Edition</x:v>
      </x:c>
      <x:c r="E13" s="48" t="str">
        <x:v>URL</x:v>
      </x:c>
      <x:c r="F13" s="48" t="str">
        <x:v>Decision use</x:v>
      </x:c>
      <x:c r="G13" s="48" t="str">
        <x:v>Licensing / scope boundary</x:v>
      </x:c>
      <x:c r="H13" s="49" t="str">
        <x:v>Lifecycle status</x:v>
      </x:c>
    </x:row>
    <x:row r="14">
      <x:c r="A14" s="73" t="str">
        <x:v>ICH-Q5C</x:v>
      </x:c>
      <x:c r="B14" s="73" t="str">
        <x:v>International Council for Harmonisation</x:v>
      </x:c>
      <x:c r="C14" s="73" t="str">
        <x:v>Stability Testing of Biotechnological/Biological Products Q5C</x:v>
      </x:c>
      <x:c r="D14" s="73" t="str">
        <x:v>Step 4 final guideline</x:v>
      </x:c>
      <x:c r="E14" s="73" t="str">
        <x:v>https://database.ich.org/sites/default/files/Q5C%20Guideline.pdf</x:v>
      </x:c>
      <x:c r="F14" s="73" t="str">
        <x:v>Biologics-specific stability evidence, methods, material, storage, and lifecycle</x:v>
      </x:c>
      <x:c r="G14" s="73" t="str">
        <x:v>No product-specific condition, schedule, criterion, or shelf life</x:v>
      </x:c>
      <x:c r="H14" s="73" t="str">
        <x:v>Current; consolidated Q1 revision monitored</x:v>
      </x:c>
    </x:row>
    <x:row r="15">
      <x:c r="A15" s="74" t="str">
        <x:v>ICH-Q1A-R2</x:v>
      </x:c>
      <x:c r="B15" s="74" t="str">
        <x:v>International Council for Harmonisation</x:v>
      </x:c>
      <x:c r="C15" s="74" t="str">
        <x:v>Stability Testing Q1A(R2)</x:v>
      </x:c>
      <x:c r="D15" s="74" t="str">
        <x:v>Step 4 final guideline</x:v>
      </x:c>
      <x:c r="E15" s="74" t="str">
        <x:v>https://database.ich.org/sites/default/files/Q1A%28R2%29%20Step4.pdf</x:v>
      </x:c>
      <x:c r="F15" s="74" t="str">
        <x:v>General stability-program and data-package principles</x:v>
      </x:c>
      <x:c r="G15" s="74" t="str">
        <x:v>Use with Q5C for applicable biologics; draft Q1 revision is not effective guidance</x:v>
      </x:c>
      <x:c r="H15" s="74" t="str">
        <x:v>Current; revision activity exists</x:v>
      </x:c>
    </x:row>
    <x:row r="16">
      <x:c r="A16" s="74" t="str">
        <x:v>ICH-Q1B</x:v>
      </x:c>
      <x:c r="B16" s="74" t="str">
        <x:v>International Council for Harmonisation</x:v>
      </x:c>
      <x:c r="C16" s="74" t="str">
        <x:v>Photostability Testing Q1B</x:v>
      </x:c>
      <x:c r="D16" s="74" t="str">
        <x:v>Step 4 final guideline</x:v>
      </x:c>
      <x:c r="E16" s="74" t="str">
        <x:v>https://database.ich.org/sites/default/files/Q1B_Guideline.pdf</x:v>
      </x:c>
      <x:c r="F16" s="74" t="str">
        <x:v>Light-exposure and photostability study principles where applicable</x:v>
      </x:c>
      <x:c r="G16" s="74" t="str">
        <x:v>No product-specific exposure, protection, or acceptance criterion</x:v>
      </x:c>
      <x:c r="H16" s="74" t="str">
        <x:v>Current; revision activity exists</x:v>
      </x:c>
    </x:row>
    <x:row r="17">
      <x:c r="A17" s="74" t="str">
        <x:v>ICH-Q6B</x:v>
      </x:c>
      <x:c r="B17" s="74" t="str">
        <x:v>International Council for Harmonisation</x:v>
      </x:c>
      <x:c r="C17" s="74" t="str">
        <x:v>Specifications for Biotechnological/Biological Products Q6B</x:v>
      </x:c>
      <x:c r="D17" s="74" t="str">
        <x:v>Step 4 final guideline; revision monitored</x:v>
      </x:c>
      <x:c r="E17" s="74" t="str">
        <x:v>https://database.ich.org/sites/default/files/Q6B_Guideline.pdf</x:v>
      </x:c>
      <x:c r="F17" s="74" t="str">
        <x:v>Characterization, degradation, potency, purity, and specification context</x:v>
      </x:c>
      <x:c r="G17" s="74" t="str">
        <x:v>Specifications are one part of the total control strategy</x:v>
      </x:c>
      <x:c r="H17" s="74" t="str">
        <x:v>Current; revision activity exists</x:v>
      </x:c>
    </x:row>
    <x:row r="18">
      <x:c r="A18" s="74" t="str">
        <x:v>ICH-Q5E</x:v>
      </x:c>
      <x:c r="B18" s="74" t="str">
        <x:v>International Council for Harmonisation</x:v>
      </x:c>
      <x:c r="C18" s="74" t="str">
        <x:v>Comparability of Biotechnological/Biological Products Q5E</x:v>
      </x:c>
      <x:c r="D18" s="74" t="str">
        <x:v>Step 4 final guideline</x:v>
      </x:c>
      <x:c r="E18" s="74" t="str">
        <x:v>https://database.ich.org/sites/default/files/Q5E%20Guideline.pdf</x:v>
      </x:c>
      <x:c r="F18" s="74" t="str">
        <x:v>Manufacturing, formulation, and presentation change evidence questions</x:v>
      </x:c>
      <x:c r="G18" s="74" t="str">
        <x:v>Release conformance or analytical identity alone does not establish comparability</x:v>
      </x:c>
      <x:c r="H18" s="74" t="str">
        <x:v>Current; verify regional implementation</x:v>
      </x:c>
    </x:row>
    <x:row r="19">
      <x:c r="A19" s="74" t="str">
        <x:v>ICH-Q8-R2</x:v>
      </x:c>
      <x:c r="B19" s="74" t="str">
        <x:v>International Council for Harmonisation</x:v>
      </x:c>
      <x:c r="C19" s="74" t="str">
        <x:v>Pharmaceutical Development Q8(R2)</x:v>
      </x:c>
      <x:c r="D19" s="74" t="str">
        <x:v>Step 4 final guideline</x:v>
      </x:c>
      <x:c r="E19" s="74" t="str">
        <x:v>https://database.ich.org/sites/default/files/Q8%28R2%29%20Guideline.pdf</x:v>
      </x:c>
      <x:c r="F19" s="74" t="str">
        <x:v>Product, formulation, and process understanding</x:v>
      </x:c>
      <x:c r="G19" s="74" t="str">
        <x:v>No product-specific formulation, material attribute, process parameter, or design space</x:v>
      </x:c>
      <x:c r="H19" s="74" t="str">
        <x:v>Current; verify regional implementation</x:v>
      </x:c>
    </x:row>
    <x:row r="20">
      <x:c r="A20" s="74" t="str">
        <x:v>ICH-Q9-R1</x:v>
      </x:c>
      <x:c r="B20" s="74" t="str">
        <x:v>International Council for Harmonisation</x:v>
      </x:c>
      <x:c r="C20" s="74" t="str">
        <x:v>Quality Risk Management Q9(R1)</x:v>
      </x:c>
      <x:c r="D20" s="74" t="str">
        <x:v>Step 4 final guideline</x:v>
      </x:c>
      <x:c r="E20" s="74" t="str">
        <x:v>https://database.ich.org/sites/default/files/ICH_Q9-R1_Guideline_Step4_2022_1219.pdf</x:v>
      </x:c>
      <x:c r="F20" s="74" t="str">
        <x:v>Risk-based decision quality</x:v>
      </x:c>
      <x:c r="G20" s="74" t="str">
        <x:v>Risk tools do not create evidence or approve claims</x:v>
      </x:c>
      <x:c r="H20" s="74" t="str">
        <x:v>Current</x:v>
      </x:c>
    </x:row>
    <x:row r="21">
      <x:c r="A21" s="74" t="str">
        <x:v>ICH-Q10</x:v>
      </x:c>
      <x:c r="B21" s="74" t="str">
        <x:v>International Council for Harmonisation</x:v>
      </x:c>
      <x:c r="C21" s="74" t="str">
        <x:v>Pharmaceutical Quality System Q10</x:v>
      </x:c>
      <x:c r="D21" s="74" t="str">
        <x:v>Step 4 final guideline</x:v>
      </x:c>
      <x:c r="E21" s="74" t="str">
        <x:v>https://database.ich.org/sites/default/files/Q10_Guideline.pdf</x:v>
      </x:c>
      <x:c r="F21" s="74" t="str">
        <x:v>Knowledge, change, commitment, and lifecycle governance</x:v>
      </x:c>
      <x:c r="G21" s="74" t="str">
        <x:v>No product-specific controls or filing conclusion</x:v>
      </x:c>
      <x:c r="H21" s="74" t="str">
        <x:v>Current</x:v>
      </x:c>
    </x:row>
    <x:row r="22">
      <x:c r="A22" s="74" t="str">
        <x:v>EU-GMP-ANNEX1-2022</x:v>
      </x:c>
      <x:c r="B22" s="74" t="str">
        <x:v>European Commission</x:v>
      </x:c>
      <x:c r="C22" s="74" t="str">
        <x:v>EudraLex Volume 4 Annex 1</x:v>
      </x:c>
      <x:c r="D22" s="74" t="str">
        <x:v>2022 revision; fully applicable 2024-08-25</x:v>
      </x:c>
      <x:c r="E22" s="74" t="str">
        <x:v>https://health.ec.europa.eu/medicinal-products/eudralex/eudralex-volume-4_en</x:v>
      </x:c>
      <x:c r="F22" s="74" t="str">
        <x:v>Sterile manufacture and container-closure integrity within scope</x:v>
      </x:c>
      <x:c r="G22" s="74" t="str">
        <x:v>Does not establish molecular stability or prove sterility from final testing</x:v>
      </x:c>
      <x:c r="H22" s="74" t="str">
        <x:v>Current EU source</x:v>
      </x:c>
    </x:row>
    <x:row r="23">
      <x:c r="A23" s="74" t="str">
        <x:v>FDA-CONTAINER-CLOSURE-1999</x:v>
      </x:c>
      <x:c r="B23" s="74" t="str">
        <x:v>U.S. Food and Drug Administration</x:v>
      </x:c>
      <x:c r="C23" s="74" t="str">
        <x:v>Container Closure Systems for Packaging Human Drugs and Biologics</x:v>
      </x:c>
      <x:c r="D23" s="74" t="str">
        <x:v>Final guidance</x:v>
      </x:c>
      <x:c r="E23" s="74" t="str">
        <x:v>https://www.fda.gov/regulatory-information/search-fda-guidance-documents/container-closure-systems-packaging-human-drugs-and-biologics</x:v>
      </x:c>
      <x:c r="F23" s="74" t="str">
        <x:v>Product-package suitability and submission evidence</x:v>
      </x:c>
      <x:c r="G23" s="74" t="str">
        <x:v>Nonbinding US guidance; system, product, route, and filing scope apply</x:v>
      </x:c>
      <x:c r="H23" s="74" t="str">
        <x:v>Current official FDA page</x:v>
      </x:c>
    </x:row>
    <x:row r="24">
      <x:c r="A24" s="75" t="str">
        <x:v>FDA-CCS-VIAL-STOPPER-2024</x:v>
      </x:c>
      <x:c r="B24" s="75" t="str">
        <x:v>U.S. Food and Drug Administration</x:v>
      </x:c>
      <x:c r="C24" s="75" t="str">
        <x:v>Container and Closure System Component Changes: Glass Vials and Stoppers</x:v>
      </x:c>
      <x:c r="D24" s="75" t="str">
        <x:v>Final Level 2 guidance, July 2024</x:v>
      </x:c>
      <x:c r="E24" s="75" t="str">
        <x:v>https://www.fda.gov/regulatory-information/search-fda-guidance-documents/container-closure-system-and-component-changes-glass-vials-and-stoppers</x:v>
      </x:c>
      <x:c r="F24" s="75" t="str">
        <x:v>Change questions for approved sterile products in glass-vial/stopper scope</x:v>
      </x:c>
      <x:c r="G24" s="75" t="str">
        <x:v>Do not generalize beyond US, application, product, vial, and stopper scope</x:v>
      </x:c>
      <x:c r="H24" s="75" t="str">
        <x:v>Current official FDA page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7" hidden="0" customWidth="1"/>
    <x:col min="4" max="4" width="28" hidden="0" customWidth="1"/>
    <x:col min="5" max="5" width="25" hidden="0" customWidth="1"/>
    <x:col min="6" max="6" width="30" hidden="0" customWidth="1"/>
    <x:col min="7" max="7" width="18" hidden="0" customWidth="1"/>
    <x:col min="8" max="8" width="24" hidden="0" customWidth="1"/>
    <x:col min="9" max="9" width="16" hidden="0" customWidth="1"/>
    <x:col min="10" max="10" width="1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47" t="str">
        <x:v>Quality Classes</x:v>
      </x:c>
      <x:c r="B4" s="48" t="str">
        <x:v>Formulation Types</x:v>
      </x:c>
      <x:c r="C4" s="48" t="str">
        <x:v>Process Types</x:v>
      </x:c>
      <x:c r="D4" s="48" t="str">
        <x:v>Study Types</x:v>
      </x:c>
      <x:c r="E4" s="48" t="str">
        <x:v>Evidence Strengths</x:v>
      </x:c>
      <x:c r="F4" s="48" t="str">
        <x:v>Evidence Types</x:v>
      </x:c>
      <x:c r="G4" s="48" t="str">
        <x:v>Review Statuses</x:v>
      </x:c>
      <x:c r="H4" s="48" t="str">
        <x:v>Action Types</x:v>
      </x:c>
      <x:c r="I4" s="48" t="str">
        <x:v>Priorities</x:v>
      </x:c>
      <x:c r="J4" s="49" t="str">
        <x:v>Action Statuses</x:v>
      </x:c>
    </x:row>
    <x:row r="5">
      <x:c r="A5" s="73" t="str">
        <x:v>Intended product / activity</x:v>
      </x:c>
      <x:c r="B5" s="73" t="str">
        <x:v>Active product property</x:v>
      </x:c>
      <x:c r="C5" s="73" t="str">
        <x:v>Compounding / mixing</x:v>
      </x:c>
      <x:c r="D5" s="73" t="str">
        <x:v>Long-term</x:v>
      </x:c>
      <x:c r="E5" s="73" t="str">
        <x:v>Hypothesis</x:v>
      </x:c>
      <x:c r="F5" s="73" t="str">
        <x:v>Official guidance</x:v>
      </x:c>
      <x:c r="G5" s="73" t="str">
        <x:v>Not started</x:v>
      </x:c>
      <x:c r="H5" s="73" t="str">
        <x:v>Evidence request</x:v>
      </x:c>
      <x:c r="I5" s="73" t="str">
        <x:v>Critical</x:v>
      </x:c>
      <x:c r="J5" s="73" t="str">
        <x:v>Not started</x:v>
      </x:c>
    </x:row>
    <x:row r="6">
      <x:c r="A6" s="74" t="str">
        <x:v>Physical degradation</x:v>
      </x:c>
      <x:c r="B6" s="74" t="str">
        <x:v>Buffer system</x:v>
      </x:c>
      <x:c r="C6" s="74" t="str">
        <x:v>Filtration</x:v>
      </x:c>
      <x:c r="D6" s="74" t="str">
        <x:v>Accelerated / supporting</x:v>
      </x:c>
      <x:c r="E6" s="74" t="str">
        <x:v>Observed association</x:v>
      </x:c>
      <x:c r="F6" s="74" t="str">
        <x:v>Controlled study</x:v>
      </x:c>
      <x:c r="G6" s="74" t="str">
        <x:v>Draft</x:v>
      </x:c>
      <x:c r="H6" s="74" t="str">
        <x:v>Study</x:v>
      </x:c>
      <x:c r="I6" s="74" t="str">
        <x:v>High</x:v>
      </x:c>
      <x:c r="J6" s="74" t="str">
        <x:v>In progress</x:v>
      </x:c>
    </x:row>
    <x:row r="7">
      <x:c r="A7" s="74" t="str">
        <x:v>Chemical degradation</x:v>
      </x:c>
      <x:c r="B7" s="74" t="str">
        <x:v>Stabilizer / protectant</x:v>
      </x:c>
      <x:c r="C7" s="74" t="str">
        <x:v>Hold / transfer</x:v>
      </x:c>
      <x:c r="D7" s="74" t="str">
        <x:v>Stress / forced degradation</x:v>
      </x:c>
      <x:c r="E7" s="74" t="str">
        <x:v>Designed-study support</x:v>
      </x:c>
      <x:c r="F7" s="74" t="str">
        <x:v>Manufacturing data</x:v>
      </x:c>
      <x:c r="G7" s="74" t="str">
        <x:v>In review</x:v>
      </x:c>
      <x:c r="H7" s="74" t="str">
        <x:v>Review</x:v>
      </x:c>
      <x:c r="I7" s="74" t="str">
        <x:v>Medium</x:v>
      </x:c>
      <x:c r="J7" s="74" t="str">
        <x:v>Blocked</x:v>
      </x:c>
    </x:row>
    <x:row r="8">
      <x:c r="A8" s="74" t="str">
        <x:v>Product-related variant</x:v>
      </x:c>
      <x:c r="B8" s="74" t="str">
        <x:v>Surfactant / interface control</x:v>
      </x:c>
      <x:c r="C8" s="74" t="str">
        <x:v>Filling</x:v>
      </x:c>
      <x:c r="D8" s="74" t="str">
        <x:v>Photostability</x:v>
      </x:c>
      <x:c r="E8" s="74" t="str">
        <x:v>Multi-source support</x:v>
      </x:c>
      <x:c r="F8" s="74" t="str">
        <x:v>Analytical study</x:v>
      </x:c>
      <x:c r="G8" s="74" t="str">
        <x:v>Reviewed</x:v>
      </x:c>
      <x:c r="H8" s="74" t="str">
        <x:v>Control change</x:v>
      </x:c>
      <x:c r="I8" s="74" t="str">
        <x:v>Low</x:v>
      </x:c>
      <x:c r="J8" s="74" t="str">
        <x:v>Closed</x:v>
      </x:c>
    </x:row>
    <x:row r="9">
      <x:c r="A9" s="74" t="str">
        <x:v>Container / material interaction</x:v>
      </x:c>
      <x:c r="B9" s="74" t="str">
        <x:v>Tonicity / bulking component</x:v>
      </x:c>
      <x:c r="C9" s="74" t="str">
        <x:v>Closing / capping</x:v>
      </x:c>
      <x:c r="D9" s="74" t="str">
        <x:v>Transport / agitation</x:v>
      </x:c>
      <x:c r="E9" s="74" t="str">
        <x:v>Contradictory or unresolved</x:v>
      </x:c>
      <x:c r="F9" s="74" t="str">
        <x:v>Material / supplier evidence</x:v>
      </x:c>
      <x:c r="G9" s="74"/>
      <x:c r="H9" s="74" t="str">
        <x:v>Monitoring</x:v>
      </x:c>
      <x:c r="I9" s="74"/>
      <x:c r="J9" s="74" t="str">
        <x:v>Deferred</x:v>
      </x:c>
    </x:row>
    <x:row r="10">
      <x:c r="A10" s="74" t="str">
        <x:v>Sterility / integrity interface</x:v>
      </x:c>
      <x:c r="B10" s="74" t="str">
        <x:v>Antioxidant / chelator</x:v>
      </x:c>
      <x:c r="C10" s="74" t="str">
        <x:v>Inspection / packaging</x:v>
      </x:c>
      <x:c r="D10" s="74" t="str">
        <x:v>Freeze-thaw</x:v>
      </x:c>
      <x:c r="E10" s="74"/>
      <x:c r="F10" s="74" t="str">
        <x:v>Container / integrity study</x:v>
      </x:c>
      <x:c r="G10" s="74"/>
      <x:c r="H10" s="74" t="str">
        <x:v>Comparability</x:v>
      </x:c>
      <x:c r="I10" s="74"/>
      <x:c r="J10" s="74"/>
    </x:row>
    <x:row r="11">
      <x:c r="A11" s="74" t="str">
        <x:v>Delivery / performance</x:v>
      </x:c>
      <x:c r="B11" s="74" t="str">
        <x:v>Preservative</x:v>
      </x:c>
      <x:c r="C11" s="74" t="str">
        <x:v>Shipping / distribution</x:v>
      </x:c>
      <x:c r="D11" s="74" t="str">
        <x:v>In-use / preparation</x:v>
      </x:c>
      <x:c r="E11" s="74"/>
      <x:c r="F11" s="74" t="str">
        <x:v>Shipping study</x:v>
      </x:c>
      <x:c r="G11" s="74"/>
      <x:c r="H11" s="74" t="str">
        <x:v>Validation</x:v>
      </x:c>
      <x:c r="I11" s="74"/>
      <x:c r="J11" s="74"/>
    </x:row>
    <x:row r="12">
      <x:c r="A12" s="74" t="str">
        <x:v>Other</x:v>
      </x:c>
      <x:c r="B12" s="74" t="str">
        <x:v>Headspace / oxygen control</x:v>
      </x:c>
      <x:c r="C12" s="74" t="str">
        <x:v>Preparation / use</x:v>
      </x:c>
      <x:c r="D12" s="74" t="str">
        <x:v>Comparability / change</x:v>
      </x:c>
      <x:c r="E12" s="74"/>
      <x:c r="F12" s="74" t="str">
        <x:v>Deviation / change record</x:v>
      </x:c>
      <x:c r="G12" s="74"/>
      <x:c r="H12" s="74" t="str">
        <x:v>Regulatory assessment</x:v>
      </x:c>
      <x:c r="I12" s="74"/>
      <x:c r="J12" s="74"/>
    </x:row>
    <x:row r="13">
      <x:c r="A13" s="74"/>
      <x:c r="B13" s="74" t="str">
        <x:v>Container / presentation</x:v>
      </x:c>
      <x:c r="C13" s="74" t="str">
        <x:v>Other</x:v>
      </x:c>
      <x:c r="D13" s="74" t="str">
        <x:v>Commitment</x:v>
      </x:c>
      <x:c r="E13" s="74"/>
      <x:c r="F13" s="74" t="str">
        <x:v>Platform knowledge</x:v>
      </x:c>
      <x:c r="G13" s="74"/>
      <x:c r="H13" s="74" t="str">
        <x:v>Decision</x:v>
      </x:c>
      <x:c r="I13" s="74"/>
      <x:c r="J13" s="74"/>
    </x:row>
    <x:row r="14">
      <x:c r="A14" s="75"/>
      <x:c r="B14" s="75" t="str">
        <x:v>Other</x:v>
      </x:c>
      <x:c r="C14" s="75"/>
      <x:c r="D14" s="75" t="str">
        <x:v>Other</x:v>
      </x:c>
      <x:c r="E14" s="75"/>
      <x:c r="F14" s="75" t="str">
        <x:v>Other</x:v>
      </x:c>
      <x:c r="G14" s="75"/>
      <x:c r="H14" s="75"/>
      <x:c r="I14" s="75"/>
      <x:c r="J14" s="75"/>
    </x:row>
  </x:sheetData>
  <x:mergeCells>
    <x:mergeCell ref="A1:J1"/>
    <x:mergeCell ref="A2:J2"/>
  </x:mergeCells>
  <x:pageMargins left="0.7" right="0.7" top="0.75" bottom="0.75" header="0.3" footer="0.3"/>
</x:worksheet>
</file>