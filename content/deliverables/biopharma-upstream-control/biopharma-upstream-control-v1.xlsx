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4d95f76e1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e41555711d014744"/>
    <x:sheet xmlns:r="http://schemas.openxmlformats.org/officeDocument/2006/relationships" name="Decision Brief" sheetId="2" r:id="Re62e9a4c0f534830"/>
    <x:sheet xmlns:r="http://schemas.openxmlformats.org/officeDocument/2006/relationships" name="Product Attributes" sheetId="3" r:id="Racc89c4ba74945f0"/>
    <x:sheet xmlns:r="http://schemas.openxmlformats.org/officeDocument/2006/relationships" name="Process Map" sheetId="4" r:id="Rb082ed0e5dd04e6f"/>
    <x:sheet xmlns:r="http://schemas.openxmlformats.org/officeDocument/2006/relationships" name="Evidence Register" sheetId="5" r:id="R4472e103e23f4bb1"/>
    <x:sheet xmlns:r="http://schemas.openxmlformats.org/officeDocument/2006/relationships" name="Review &amp; Actions" sheetId="6" r:id="Rc8e896c9f66d46df"/>
    <x:sheet xmlns:r="http://schemas.openxmlformats.org/officeDocument/2006/relationships" name="Sources &amp; Control" sheetId="7" r:id="Re4f65fed3cd5424d"/>
    <x:sheet xmlns:r="http://schemas.openxmlformats.org/officeDocument/2006/relationships" name="Lists" sheetId="8" r:id="R357c7e5c1566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sz val="11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3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/>
    <x:xf numFmtId="0" fontId="8" fillId="8" borderId="9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7" fillId="7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2" xfId="0" applyNumberFormat="1" applyFont="1" applyFill="1" applyBorder="1"/>
    <x:xf numFmtId="0" fontId="9" fillId="5" borderId="11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8" borderId="12" xfId="0" applyNumberFormat="1" applyFont="1" applyFill="1" applyBorder="1" applyAlignment="1">
      <x:alignment vertical="top" wrapText="1"/>
    </x:xf>
    <x:xf numFmtId="0" fontId="10" fillId="8" borderId="13" xfId="0" applyNumberFormat="1" applyFont="1" applyFill="1" applyBorder="1" applyAlignment="1">
      <x:alignment vertical="top" wrapText="1"/>
    </x:xf>
    <x:xf numFmtId="0" fontId="10" fillId="8" borderId="14" xfId="0" applyNumberFormat="1" applyFont="1" applyFill="1" applyBorder="1" applyAlignment="1">
      <x:alignment vertical="top" wrapText="1"/>
    </x:xf>
    <x:xf numFmtId="0" fontId="10" fillId="4" borderId="12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10" fillId="8" borderId="12" xfId="0" applyNumberFormat="1" applyFont="1" applyFill="1" applyBorder="1" applyAlignment="1">
      <x:alignment vertical="top" wrapText="1"/>
    </x:xf>
    <x:xf numFmtId="200" fontId="10" fillId="8" borderId="13" xfId="0" applyNumberFormat="1" applyFont="1" applyFill="1" applyBorder="1" applyAlignment="1">
      <x:alignment vertical="top" wrapText="1"/>
    </x:xf>
    <x:xf numFmtId="200" fontId="10" fillId="8" borderId="1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1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0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23bec9be74757" /><Relationship Type="http://schemas.openxmlformats.org/officeDocument/2006/relationships/theme" Target="/xl/theme/theme1.xml" Id="R3d32bf9fb3d24370" /><Relationship Type="http://schemas.openxmlformats.org/officeDocument/2006/relationships/sharedStrings" Target="/xl/sharedStrings.xml" Id="R0dd7ded7a06545cc" /><Relationship Type="http://schemas.openxmlformats.org/officeDocument/2006/relationships/worksheet" Target="/xl/worksheets/sheet1.xml" Id="Re41555711d014744" /><Relationship Type="http://schemas.openxmlformats.org/officeDocument/2006/relationships/worksheet" Target="/xl/worksheets/sheet2.xml" Id="Re62e9a4c0f534830" /><Relationship Type="http://schemas.openxmlformats.org/officeDocument/2006/relationships/worksheet" Target="/xl/worksheets/sheet3.xml" Id="Racc89c4ba74945f0" /><Relationship Type="http://schemas.openxmlformats.org/officeDocument/2006/relationships/worksheet" Target="/xl/worksheets/sheet4.xml" Id="Rb082ed0e5dd04e6f" /><Relationship Type="http://schemas.openxmlformats.org/officeDocument/2006/relationships/worksheet" Target="/xl/worksheets/sheet5.xml" Id="R4472e103e23f4bb1" /><Relationship Type="http://schemas.openxmlformats.org/officeDocument/2006/relationships/worksheet" Target="/xl/worksheets/sheet6.xml" Id="Rc8e896c9f66d46df" /><Relationship Type="http://schemas.openxmlformats.org/officeDocument/2006/relationships/worksheet" Target="/xl/worksheets/sheet7.xml" Id="Re4f65fed3cd5424d" /><Relationship Type="http://schemas.openxmlformats.org/officeDocument/2006/relationships/worksheet" Target="/xl/worksheets/sheet8.xml" Id="R357c7e5c1566489a" /><Relationship Type="http://schemas.microsoft.com/office/2017/10/relationships/person" Target="/xl/persons/person.xml" Id="Ra33057a249044b2e" /></Relationships>
</file>

<file path=xl/persons/person.xml><?xml version="1.0" encoding="utf-8"?>
<xltc:personList xmlns:xltc="http://schemas.microsoft.com/office/spreadsheetml/2018/threadedcomments">
  <xltc:person displayName="User" id="{8A601442-ABAD-4F2A-B857-0545637290D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Upstream Control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Educational evidence-mapping support | No generic ranges, criticality approvals, PPQ criteria, or regulatory conclusions</x:v>
      </x:c>
      <x:c r="B2" s="7"/>
      <x:c r="C2" s="7"/>
      <x:c r="D2" s="7"/>
      <x:c r="E2" s="7"/>
      <x:c r="F2" s="7"/>
    </x:row>
    <x:row r="4">
      <x:c r="A4" s="9" t="str">
        <x:v>Current decision status</x:v>
      </x:c>
      <x:c r="B4" s="17" t="str">
        <x:f>'Decision Brief'!B15</x:f>
        <x:v>Evidence required</x:v>
      </x:c>
    </x:row>
    <x:row r="5">
      <x:c r="A5" s="10" t="str">
        <x:v>Mapped product attributes</x:v>
      </x:c>
      <x:c r="B5" s="15" t="n">
        <x:f>'Decision Brief'!B9</x:f>
        <x:v>0</x:v>
      </x:c>
    </x:row>
    <x:row r="6">
      <x:c r="A6" s="10" t="str">
        <x:v>Mapped process relationships</x:v>
      </x:c>
      <x:c r="B6" s="15" t="n">
        <x:f>'Decision Brief'!B10</x:f>
        <x:v>0</x:v>
      </x:c>
    </x:row>
    <x:row r="7">
      <x:c r="A7" s="10" t="str">
        <x:v>Evidence records</x:v>
      </x:c>
      <x:c r="B7" s="15" t="n">
        <x:f>'Decision Brief'!B11</x:f>
        <x:v>0</x:v>
      </x:c>
    </x:row>
    <x:row r="8">
      <x:c r="A8" s="10" t="str">
        <x:v>Incomplete records</x:v>
      </x:c>
      <x:c r="B8" s="15" t="n">
        <x:f>'Decision Brief'!B12</x:f>
        <x:v>0</x:v>
      </x:c>
    </x:row>
    <x:row r="9">
      <x:c r="A9" s="11" t="str">
        <x:v>Open / review-required records</x:v>
      </x:c>
      <x:c r="B9" s="16" t="n">
        <x:f>'Decision Brief'!B13+'Decision Brief'!B14</x:f>
        <x:v>0</x:v>
      </x:c>
    </x:row>
    <x:row r="11">
      <x:c r="A11" s="19" t="str">
        <x:v>How to use this workbook</x:v>
      </x:c>
      <x:c r="B11" s="19"/>
      <x:c r="C11" s="19"/>
      <x:c r="D11" s="19"/>
      <x:c r="E11" s="19"/>
      <x:c r="F11" s="19"/>
    </x:row>
    <x:row r="12">
      <x:c r="A12" s="22" t="str">
        <x:v>1. Frame one product/process decision in Decision Brief.</x:v>
      </x:c>
      <x:c r="B12" s="22"/>
      <x:c r="C12" s="22"/>
      <x:c r="D12" s="22"/>
      <x:c r="E12" s="22"/>
      <x:c r="F12" s="22"/>
    </x:row>
    <x:row r="13">
      <x:c r="A13" s="22" t="str">
        <x:v>2. Record product attributes before proposing upstream relationships.</x:v>
      </x:c>
      <x:c r="B13" s="22"/>
      <x:c r="C13" s="22"/>
      <x:c r="D13" s="22"/>
      <x:c r="E13" s="22"/>
      <x:c r="F13" s="22"/>
    </x:row>
    <x:row r="14">
      <x:c r="A14" s="22" t="str">
        <x:v>3. Map materials, parameters, performance indicators, and process outputs separately.</x:v>
      </x:c>
      <x:c r="B14" s="22"/>
      <x:c r="C14" s="22"/>
      <x:c r="D14" s="22"/>
      <x:c r="E14" s="22"/>
      <x:c r="F14" s="22"/>
    </x:row>
    <x:row r="15">
      <x:c r="A15" s="22" t="str">
        <x:v>4. Reference product/process evidence; preserve contradictory findings and limitations.</x:v>
      </x:c>
      <x:c r="B15" s="22"/>
      <x:c r="C15" s="22"/>
      <x:c r="D15" s="22"/>
      <x:c r="E15" s="22"/>
      <x:c r="F15" s="22"/>
    </x:row>
    <x:row r="16">
      <x:c r="A16" s="22" t="str">
        <x:v>5. Record a controlled-document reference for every numeric range or criterion.</x:v>
      </x:c>
      <x:c r="B16" s="22"/>
      <x:c r="C16" s="22"/>
      <x:c r="D16" s="22"/>
      <x:c r="E16" s="22"/>
      <x:c r="F16" s="22"/>
    </x:row>
    <x:row r="17">
      <x:c r="A17" s="22" t="str">
        <x:v>6. Resolve every Incomplete, Evidence required, or Review required flag.</x:v>
      </x:c>
      <x:c r="B17" s="22"/>
      <x:c r="C17" s="22"/>
      <x:c r="D17" s="22"/>
      <x:c r="E17" s="22"/>
      <x:c r="F17" s="22"/>
    </x:row>
    <x:row r="18">
      <x:c r="A18" s="22" t="str">
        <x:v>7. Obtain qualified process, analytical, quality, and regulatory review.</x:v>
      </x:c>
      <x:c r="B18" s="22"/>
      <x:c r="C18" s="22"/>
      <x:c r="D18" s="22"/>
      <x:c r="E18" s="22"/>
      <x:c r="F18" s="22"/>
    </x:row>
    <x:row r="19">
      <x:c r="A19" s="22" t="str">
        <x:v>8. Transfer approved content into the site's controlled system; this workbook is not that system.</x:v>
      </x:c>
      <x:c r="B19" s="22"/>
      <x:c r="C19" s="22"/>
      <x:c r="D19" s="22"/>
      <x:c r="E19" s="22"/>
      <x:c r="F19" s="22"/>
    </x:row>
    <x:row r="21">
      <x:c r="A21" s="25" t="str">
        <x:v>Critical boundary: the fictional example demonstrates use only. It is not a platform benchmark, and no numeric range or criticality label may be reused for another product.</x:v>
      </x:c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</x:sheetData>
  <x:mergeCells>
    <x:mergeCell ref="A1:F1"/>
    <x:mergeCell ref="A2:F2"/>
    <x:mergeCell ref="A11:F11"/>
    <x:mergeCell ref="A12:F12"/>
    <x:mergeCell ref="A13:F13"/>
    <x:mergeCell ref="A14:F14"/>
    <x:mergeCell ref="A15:F15"/>
    <x:mergeCell ref="A16:F16"/>
    <x:mergeCell ref="A17:F17"/>
    <x:mergeCell ref="A18:F18"/>
    <x:mergeCell ref="A19:F19"/>
    <x:mergeCell ref="A21:F22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Define the product/process scope and decision before mapping attributes or parameters</x:v>
      </x:c>
      <x:c r="B2" s="7"/>
      <x:c r="C2" s="7"/>
      <x:c r="D2" s="7"/>
      <x:c r="E2" s="7"/>
      <x:c r="F2" s="7"/>
    </x:row>
    <x:row r="3">
      <x:c r="A3" s="26" t="str">
        <x:v>Decision statement</x:v>
      </x:c>
      <x:c r="B3" s="37"/>
      <x:c r="C3" s="38"/>
      <x:c r="D3" s="38"/>
      <x:c r="E3" s="38"/>
      <x:c r="F3" s="39"/>
    </x:row>
    <x:row r="4">
      <x:c r="A4" s="26" t="str">
        <x:v>Product / molecule ID</x:v>
      </x:c>
      <x:c r="B4" s="40"/>
      <x:c r="C4" s="41"/>
      <x:c r="D4" s="41"/>
      <x:c r="E4" s="41"/>
      <x:c r="F4" s="42"/>
    </x:row>
    <x:row r="5">
      <x:c r="A5" s="26" t="str">
        <x:v>Modality and scope</x:v>
      </x:c>
      <x:c r="B5" s="40"/>
      <x:c r="C5" s="41"/>
      <x:c r="D5" s="41"/>
      <x:c r="E5" s="41"/>
      <x:c r="F5" s="42"/>
    </x:row>
    <x:row r="6">
      <x:c r="A6" s="26" t="str">
        <x:v>Process version, scale, site</x:v>
      </x:c>
      <x:c r="B6" s="40"/>
      <x:c r="C6" s="41"/>
      <x:c r="D6" s="41"/>
      <x:c r="E6" s="41"/>
      <x:c r="F6" s="42"/>
    </x:row>
    <x:row r="7">
      <x:c r="A7" s="26" t="str">
        <x:v>Decision owner and review date</x:v>
      </x:c>
      <x:c r="B7" s="43"/>
      <x:c r="C7" s="44"/>
      <x:c r="D7" s="44"/>
      <x:c r="E7" s="44"/>
      <x:c r="F7" s="45"/>
    </x:row>
    <x:row r="9">
      <x:c r="A9" s="8" t="str">
        <x:v>Mapped product attributes</x:v>
      </x:c>
      <x:c r="B9" s="13" t="n">
        <x:f>COUNTA('Product Attributes'!A6:A105)</x:f>
        <x:v>0</x:v>
      </x:c>
    </x:row>
    <x:row r="10">
      <x:c r="A10" s="8" t="str">
        <x:v>Mapped process relationships</x:v>
      </x:c>
      <x:c r="B10" s="13" t="n">
        <x:f>COUNTA('Process Map'!A6:A205)</x:f>
        <x:v>0</x:v>
      </x:c>
    </x:row>
    <x:row r="11">
      <x:c r="A11" s="8" t="str">
        <x:v>Evidence records</x:v>
      </x:c>
      <x:c r="B11" s="13" t="n">
        <x:f>COUNTA('Evidence Register'!A6:A205)</x:f>
        <x:v>0</x:v>
      </x:c>
    </x:row>
    <x:row r="12">
      <x:c r="A12" s="8" t="str">
        <x:v>Incomplete records</x:v>
      </x:c>
      <x:c r="B12" s="13" t="n">
        <x:f>COUNTIF('Product Attributes'!J6:J105,"Incomplete")+COUNTIF('Process Map'!O6:O205,"Incomplete")+COUNTIF('Evidence Register'!K6:K205,"Incomplete")</x:f>
        <x:v>0</x:v>
      </x:c>
    </x:row>
    <x:row r="13">
      <x:c r="A13" s="8" t="str">
        <x:v>Review-required records</x:v>
      </x:c>
      <x:c r="B13" s="13" t="n">
        <x:f>COUNTIF('Product Attributes'!J6:J105,"Review required")+COUNTIF('Process Map'!O6:O205,"Review required")+COUNTIF('Evidence Register'!K6:K205,"Review required")</x:f>
        <x:v>0</x:v>
      </x:c>
    </x:row>
    <x:row r="14">
      <x:c r="A14" s="8" t="str">
        <x:v>Open / overdue actions</x:v>
      </x:c>
      <x:c r="B14" s="13" t="n">
        <x:f>COUNTIF('Review &amp; Actions'!J6:J105,"Open")+COUNTIF('Review &amp; Actions'!J6:J105,"Overdue")+COUNTIF('Review &amp; Actions'!J6:J105,"Incomplete")</x:f>
        <x:v>0</x:v>
      </x:c>
    </x:row>
    <x:row r="15">
      <x:c r="A15" s="8" t="str">
        <x:v>Decision status</x:v>
      </x:c>
      <x:c r="B15" s="46" t="str">
        <x:f>IF(COUNTA(B3:B7)&lt;5,"Evidence required",IF(B12&gt;0,"Evidence required",IF(B13+B14&gt;0,"Qualified review required","Review-ready draft")))</x:f>
        <x:v>Evidence required</x:v>
      </x:c>
    </x:row>
    <x:row r="17">
      <x:c r="A17" s="47" t="str">
        <x:v>Decision boundary: Review-ready draft means the working record is structurally complete. It does not establish product-specific CQAs, CPPs, operating ranges, validation, comparability, regulatory acceptance, or batch disposition.</x:v>
      </x:c>
      <x:c r="B17" s="47"/>
      <x:c r="C17" s="47"/>
      <x:c r="D17" s="47"/>
      <x:c r="E17" s="47"/>
      <x:c r="F17" s="47"/>
    </x:row>
    <x:row r="18">
      <x:c r="A18" s="47"/>
      <x:c r="B18" s="47"/>
      <x:c r="C18" s="47"/>
      <x:c r="D18" s="47"/>
      <x:c r="E18" s="47"/>
      <x:c r="F18" s="47"/>
    </x:row>
    <x:row r="19">
      <x:c r="A19" s="47"/>
      <x:c r="B19" s="47"/>
      <x:c r="C19" s="47"/>
      <x:c r="D19" s="47"/>
      <x:c r="E19" s="47"/>
      <x:c r="F19" s="47"/>
    </x:row>
    <x:row r="20">
      <x:c r="A20" s="47"/>
      <x:c r="B20" s="47"/>
      <x:c r="C20" s="47"/>
      <x:c r="D20" s="47"/>
      <x:c r="E20" s="47"/>
      <x:c r="F20" s="47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17:F20"/>
  </x:mergeCells>
  <x:conditionalFormatting sqref="B15:B15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4" hidden="0" customWidth="1"/>
    <x:col min="5" max="5" width="22" hidden="0" customWidth="1"/>
    <x:col min="6" max="6" width="18" hidden="0" customWidth="1"/>
    <x:col min="7" max="7" width="26" hidden="0" customWidth="1"/>
    <x:col min="8" max="8" width="22" hidden="0" customWidth="1"/>
    <x:col min="9" max="9" width="16" hidden="0" customWidth="1"/>
    <x:col min="10" max="10" width="22" hidden="0" customWidth="1"/>
    <x:col min="11" max="11" width="32" hidden="0" customWidth="1"/>
  </x:cols>
  <x:sheetData>
    <x:row r="1" ht="28" customHeight="1">
      <x:c r="A1" s="3" t="str">
        <x:v>Product Attributes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Record attribute relevance and current evidence state before mapping process relationships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Attribute ID</x:v>
      </x:c>
      <x:c r="B5" s="56" t="str">
        <x:v>Attribute</x:v>
      </x:c>
      <x:c r="C5" s="56" t="str">
        <x:v>Quality dimension</x:v>
      </x:c>
      <x:c r="D5" s="56" t="str">
        <x:v>Product / patient relevance</x:v>
      </x:c>
      <x:c r="E5" s="56" t="str">
        <x:v>Criticality evidence state</x:v>
      </x:c>
      <x:c r="F5" s="56" t="str">
        <x:v>Evidence IDs</x:v>
      </x:c>
      <x:c r="G5" s="56" t="str">
        <x:v>Measurement / method</x:v>
      </x:c>
      <x:c r="H5" s="56" t="str">
        <x:v>Control placement</x:v>
      </x:c>
      <x:c r="I5" s="56" t="str">
        <x:v>Review status</x:v>
      </x:c>
      <x:c r="J5" s="56" t="str">
        <x:v>Attention</x:v>
      </x:c>
      <x:c r="K5" s="57" t="str">
        <x:v>Limitations / notes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74" t="str">
        <x:f>IF(A6="","",IF(OR(B6="",C6="",D6="",E6="",F6="",H6="",I6=""),"Incomplete",IF(OR(E6="Working hypothesis",E6="Unresolved",I6&lt;&gt;"Reviewed"),"Review required","Ready for qualified review")))</x:f>
      </x:c>
      <x:c r="K6" s="68"/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75" t="str">
        <x:f>IF(A7="","",IF(OR(B7="",C7="",D7="",E7="",F7="",H7="",I7=""),"Incomplete",IF(OR(E7="Working hypothesis",E7="Unresolved",I7&lt;&gt;"Reviewed"),"Review required","Ready for qualified review")))</x:f>
      </x:c>
      <x:c r="K7" s="69"/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75" t="str">
        <x:f>IF(A8="","",IF(OR(B8="",C8="",D8="",E8="",F8="",H8="",I8=""),"Incomplete",IF(OR(E8="Working hypothesis",E8="Unresolved",I8&lt;&gt;"Reviewed"),"Review required","Ready for qualified review")))</x:f>
      </x:c>
      <x:c r="K8" s="69"/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75" t="str">
        <x:f>IF(A9="","",IF(OR(B9="",C9="",D9="",E9="",F9="",H9="",I9=""),"Incomplete",IF(OR(E9="Working hypothesis",E9="Unresolved",I9&lt;&gt;"Reviewed"),"Review required","Ready for qualified review")))</x:f>
      </x:c>
      <x:c r="K9" s="69"/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75" t="str">
        <x:f>IF(A10="","",IF(OR(B10="",C10="",D10="",E10="",F10="",H10="",I10=""),"Incomplete",IF(OR(E10="Working hypothesis",E10="Unresolved",I10&lt;&gt;"Reviewed"),"Review required","Ready for qualified review")))</x:f>
      </x:c>
      <x:c r="K10" s="69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75" t="str">
        <x:f>IF(A11="","",IF(OR(B11="",C11="",D11="",E11="",F11="",H11="",I11=""),"Incomplete",IF(OR(E11="Working hypothesis",E11="Unresolved",I11&lt;&gt;"Reviewed"),"Review required","Ready for qualified review")))</x:f>
      </x:c>
      <x:c r="K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75" t="str">
        <x:f>IF(A12="","",IF(OR(B12="",C12="",D12="",E12="",F12="",H12="",I12=""),"Incomplete",IF(OR(E12="Working hypothesis",E12="Unresolved",I12&lt;&gt;"Reviewed"),"Review required","Ready for qualified review")))</x:f>
      </x:c>
      <x:c r="K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75" t="str">
        <x:f>IF(A13="","",IF(OR(B13="",C13="",D13="",E13="",F13="",H13="",I13=""),"Incomplete",IF(OR(E13="Working hypothesis",E13="Unresolved",I13&lt;&gt;"Reviewed"),"Review required","Ready for qualified review")))</x:f>
      </x:c>
      <x:c r="K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75" t="str">
        <x:f>IF(A14="","",IF(OR(B14="",C14="",D14="",E14="",F14="",H14="",I14=""),"Incomplete",IF(OR(E14="Working hypothesis",E14="Unresolved",I14&lt;&gt;"Reviewed"),"Review required","Ready for qualified review")))</x:f>
      </x:c>
      <x:c r="K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75" t="str">
        <x:f>IF(A15="","",IF(OR(B15="",C15="",D15="",E15="",F15="",H15="",I15=""),"Incomplete",IF(OR(E15="Working hypothesis",E15="Unresolved",I15&lt;&gt;"Reviewed"),"Review required","Ready for qualified review")))</x:f>
      </x:c>
      <x:c r="K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75" t="str">
        <x:f>IF(A16="","",IF(OR(B16="",C16="",D16="",E16="",F16="",H16="",I16=""),"Incomplete",IF(OR(E16="Working hypothesis",E16="Unresolved",I16&lt;&gt;"Reviewed"),"Review required","Ready for qualified review")))</x:f>
      </x:c>
      <x:c r="K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75" t="str">
        <x:f>IF(A17="","",IF(OR(B17="",C17="",D17="",E17="",F17="",H17="",I17=""),"Incomplete",IF(OR(E17="Working hypothesis",E17="Unresolved",I17&lt;&gt;"Reviewed"),"Review required","Ready for qualified review")))</x:f>
      </x:c>
      <x:c r="K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75" t="str">
        <x:f>IF(A18="","",IF(OR(B18="",C18="",D18="",E18="",F18="",H18="",I18=""),"Incomplete",IF(OR(E18="Working hypothesis",E18="Unresolved",I18&lt;&gt;"Reviewed"),"Review required","Ready for qualified review")))</x:f>
      </x:c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75" t="str">
        <x:f>IF(A19="","",IF(OR(B19="",C19="",D19="",E19="",F19="",H19="",I19=""),"Incomplete",IF(OR(E19="Working hypothesis",E19="Unresolved",I19&lt;&gt;"Reviewed"),"Review required","Ready for qualified review")))</x:f>
      </x:c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75" t="str">
        <x:f>IF(A20="","",IF(OR(B20="",C20="",D20="",E20="",F20="",H20="",I20=""),"Incomplete",IF(OR(E20="Working hypothesis",E20="Unresolved",I20&lt;&gt;"Reviewed"),"Review required","Ready for qualified review")))</x:f>
      </x:c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75" t="str">
        <x:f>IF(A21="","",IF(OR(B21="",C21="",D21="",E21="",F21="",H21="",I21=""),"Incomplete",IF(OR(E21="Working hypothesis",E21="Unresolved",I21&lt;&gt;"Reviewed"),"Review required","Ready for qualified review")))</x:f>
      </x:c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75" t="str">
        <x:f>IF(A22="","",IF(OR(B22="",C22="",D22="",E22="",F22="",H22="",I22=""),"Incomplete",IF(OR(E22="Working hypothesis",E22="Unresolved",I22&lt;&gt;"Reviewed"),"Review required","Ready for qualified review")))</x:f>
      </x:c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75" t="str">
        <x:f>IF(A23="","",IF(OR(B23="",C23="",D23="",E23="",F23="",H23="",I23=""),"Incomplete",IF(OR(E23="Working hypothesis",E23="Unresolved",I23&lt;&gt;"Reviewed"),"Review required","Ready for qualified review")))</x:f>
      </x:c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75" t="str">
        <x:f>IF(A24="","",IF(OR(B24="",C24="",D24="",E24="",F24="",H24="",I24=""),"Incomplete",IF(OR(E24="Working hypothesis",E24="Unresolved",I24&lt;&gt;"Reviewed"),"Review required","Ready for qualified review")))</x:f>
      </x:c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75" t="str">
        <x:f>IF(A25="","",IF(OR(B25="",C25="",D25="",E25="",F25="",H25="",I25=""),"Incomplete",IF(OR(E25="Working hypothesis",E25="Unresolved",I25&lt;&gt;"Reviewed"),"Review required","Ready for qualified review")))</x:f>
      </x:c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75" t="str">
        <x:f>IF(A26="","",IF(OR(B26="",C26="",D26="",E26="",F26="",H26="",I26=""),"Incomplete",IF(OR(E26="Working hypothesis",E26="Unresolved",I26&lt;&gt;"Reviewed"),"Review required","Ready for qualified review")))</x:f>
      </x:c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75" t="str">
        <x:f>IF(A27="","",IF(OR(B27="",C27="",D27="",E27="",F27="",H27="",I27=""),"Incomplete",IF(OR(E27="Working hypothesis",E27="Unresolved",I27&lt;&gt;"Reviewed"),"Review required","Ready for qualified review")))</x:f>
      </x:c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75" t="str">
        <x:f>IF(A28="","",IF(OR(B28="",C28="",D28="",E28="",F28="",H28="",I28=""),"Incomplete",IF(OR(E28="Working hypothesis",E28="Unresolved",I28&lt;&gt;"Reviewed"),"Review required","Ready for qualified review")))</x:f>
      </x:c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75" t="str">
        <x:f>IF(A29="","",IF(OR(B29="",C29="",D29="",E29="",F29="",H29="",I29=""),"Incomplete",IF(OR(E29="Working hypothesis",E29="Unresolved",I29&lt;&gt;"Reviewed"),"Review required","Ready for qualified review")))</x:f>
      </x:c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75" t="str">
        <x:f>IF(A30="","",IF(OR(B30="",C30="",D30="",E30="",F30="",H30="",I30=""),"Incomplete",IF(OR(E30="Working hypothesis",E30="Unresolved",I30&lt;&gt;"Reviewed"),"Review required","Ready for qualified review")))</x:f>
      </x:c>
      <x:c r="K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75" t="str">
        <x:f>IF(A31="","",IF(OR(B31="",C31="",D31="",E31="",F31="",H31="",I31=""),"Incomplete",IF(OR(E31="Working hypothesis",E31="Unresolved",I31&lt;&gt;"Reviewed"),"Review required","Ready for qualified review")))</x:f>
      </x:c>
      <x:c r="K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75" t="str">
        <x:f>IF(A32="","",IF(OR(B32="",C32="",D32="",E32="",F32="",H32="",I32=""),"Incomplete",IF(OR(E32="Working hypothesis",E32="Unresolved",I32&lt;&gt;"Reviewed"),"Review required","Ready for qualified review")))</x:f>
      </x:c>
      <x:c r="K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75" t="str">
        <x:f>IF(A33="","",IF(OR(B33="",C33="",D33="",E33="",F33="",H33="",I33=""),"Incomplete",IF(OR(E33="Working hypothesis",E33="Unresolved",I33&lt;&gt;"Reviewed"),"Review required","Ready for qualified review")))</x:f>
      </x:c>
      <x:c r="K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75" t="str">
        <x:f>IF(A34="","",IF(OR(B34="",C34="",D34="",E34="",F34="",H34="",I34=""),"Incomplete",IF(OR(E34="Working hypothesis",E34="Unresolved",I34&lt;&gt;"Reviewed"),"Review required","Ready for qualified review")))</x:f>
      </x:c>
      <x:c r="K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75" t="str">
        <x:f>IF(A35="","",IF(OR(B35="",C35="",D35="",E35="",F35="",H35="",I35=""),"Incomplete",IF(OR(E35="Working hypothesis",E35="Unresolved",I35&lt;&gt;"Reviewed"),"Review required","Ready for qualified review")))</x:f>
      </x:c>
      <x:c r="K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75" t="str">
        <x:f>IF(A36="","",IF(OR(B36="",C36="",D36="",E36="",F36="",H36="",I36=""),"Incomplete",IF(OR(E36="Working hypothesis",E36="Unresolved",I36&lt;&gt;"Reviewed"),"Review required","Ready for qualified review")))</x:f>
      </x:c>
      <x:c r="K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75" t="str">
        <x:f>IF(A37="","",IF(OR(B37="",C37="",D37="",E37="",F37="",H37="",I37=""),"Incomplete",IF(OR(E37="Working hypothesis",E37="Unresolved",I37&lt;&gt;"Reviewed"),"Review required","Ready for qualified review")))</x:f>
      </x:c>
      <x:c r="K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75" t="str">
        <x:f>IF(A38="","",IF(OR(B38="",C38="",D38="",E38="",F38="",H38="",I38=""),"Incomplete",IF(OR(E38="Working hypothesis",E38="Unresolved",I38&lt;&gt;"Reviewed"),"Review required","Ready for qualified review")))</x:f>
      </x:c>
      <x:c r="K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75" t="str">
        <x:f>IF(A39="","",IF(OR(B39="",C39="",D39="",E39="",F39="",H39="",I39=""),"Incomplete",IF(OR(E39="Working hypothesis",E39="Unresolved",I39&lt;&gt;"Reviewed"),"Review required","Ready for qualified review")))</x:f>
      </x:c>
      <x:c r="K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75" t="str">
        <x:f>IF(A40="","",IF(OR(B40="",C40="",D40="",E40="",F40="",H40="",I40=""),"Incomplete",IF(OR(E40="Working hypothesis",E40="Unresolved",I40&lt;&gt;"Reviewed"),"Review required","Ready for qualified review")))</x:f>
      </x:c>
      <x:c r="K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75" t="str">
        <x:f>IF(A41="","",IF(OR(B41="",C41="",D41="",E41="",F41="",H41="",I41=""),"Incomplete",IF(OR(E41="Working hypothesis",E41="Unresolved",I41&lt;&gt;"Reviewed"),"Review required","Ready for qualified review")))</x:f>
      </x:c>
      <x:c r="K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75" t="str">
        <x:f>IF(A42="","",IF(OR(B42="",C42="",D42="",E42="",F42="",H42="",I42=""),"Incomplete",IF(OR(E42="Working hypothesis",E42="Unresolved",I42&lt;&gt;"Reviewed"),"Review required","Ready for qualified review")))</x:f>
      </x:c>
      <x:c r="K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75" t="str">
        <x:f>IF(A43="","",IF(OR(B43="",C43="",D43="",E43="",F43="",H43="",I43=""),"Incomplete",IF(OR(E43="Working hypothesis",E43="Unresolved",I43&lt;&gt;"Reviewed"),"Review required","Ready for qualified review")))</x:f>
      </x:c>
      <x:c r="K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75" t="str">
        <x:f>IF(A44="","",IF(OR(B44="",C44="",D44="",E44="",F44="",H44="",I44=""),"Incomplete",IF(OR(E44="Working hypothesis",E44="Unresolved",I44&lt;&gt;"Reviewed"),"Review required","Ready for qualified review")))</x:f>
      </x:c>
      <x:c r="K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75" t="str">
        <x:f>IF(A45="","",IF(OR(B45="",C45="",D45="",E45="",F45="",H45="",I45=""),"Incomplete",IF(OR(E45="Working hypothesis",E45="Unresolved",I45&lt;&gt;"Reviewed"),"Review required","Ready for qualified review")))</x:f>
      </x:c>
      <x:c r="K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75" t="str">
        <x:f>IF(A46="","",IF(OR(B46="",C46="",D46="",E46="",F46="",H46="",I46=""),"Incomplete",IF(OR(E46="Working hypothesis",E46="Unresolved",I46&lt;&gt;"Reviewed"),"Review required","Ready for qualified review")))</x:f>
      </x:c>
      <x:c r="K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75" t="str">
        <x:f>IF(A47="","",IF(OR(B47="",C47="",D47="",E47="",F47="",H47="",I47=""),"Incomplete",IF(OR(E47="Working hypothesis",E47="Unresolved",I47&lt;&gt;"Reviewed"),"Review required","Ready for qualified review")))</x:f>
      </x:c>
      <x:c r="K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75" t="str">
        <x:f>IF(A48="","",IF(OR(B48="",C48="",D48="",E48="",F48="",H48="",I48=""),"Incomplete",IF(OR(E48="Working hypothesis",E48="Unresolved",I48&lt;&gt;"Reviewed"),"Review required","Ready for qualified review")))</x:f>
      </x:c>
      <x:c r="K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75" t="str">
        <x:f>IF(A49="","",IF(OR(B49="",C49="",D49="",E49="",F49="",H49="",I49=""),"Incomplete",IF(OR(E49="Working hypothesis",E49="Unresolved",I49&lt;&gt;"Reviewed"),"Review required","Ready for qualified review")))</x:f>
      </x:c>
      <x:c r="K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75" t="str">
        <x:f>IF(A50="","",IF(OR(B50="",C50="",D50="",E50="",F50="",H50="",I50=""),"Incomplete",IF(OR(E50="Working hypothesis",E50="Unresolved",I50&lt;&gt;"Reviewed"),"Review required","Ready for qualified review")))</x:f>
      </x:c>
      <x:c r="K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75" t="str">
        <x:f>IF(A51="","",IF(OR(B51="",C51="",D51="",E51="",F51="",H51="",I51=""),"Incomplete",IF(OR(E51="Working hypothesis",E51="Unresolved",I51&lt;&gt;"Reviewed"),"Review required","Ready for qualified review")))</x:f>
      </x:c>
      <x:c r="K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75" t="str">
        <x:f>IF(A52="","",IF(OR(B52="",C52="",D52="",E52="",F52="",H52="",I52=""),"Incomplete",IF(OR(E52="Working hypothesis",E52="Unresolved",I52&lt;&gt;"Reviewed"),"Review required","Ready for qualified review")))</x:f>
      </x:c>
      <x:c r="K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75" t="str">
        <x:f>IF(A53="","",IF(OR(B53="",C53="",D53="",E53="",F53="",H53="",I53=""),"Incomplete",IF(OR(E53="Working hypothesis",E53="Unresolved",I53&lt;&gt;"Reviewed"),"Review required","Ready for qualified review")))</x:f>
      </x:c>
      <x:c r="K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75" t="str">
        <x:f>IF(A54="","",IF(OR(B54="",C54="",D54="",E54="",F54="",H54="",I54=""),"Incomplete",IF(OR(E54="Working hypothesis",E54="Unresolved",I54&lt;&gt;"Reviewed"),"Review required","Ready for qualified review")))</x:f>
      </x:c>
      <x:c r="K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75" t="str">
        <x:f>IF(A55="","",IF(OR(B55="",C55="",D55="",E55="",F55="",H55="",I55=""),"Incomplete",IF(OR(E55="Working hypothesis",E55="Unresolved",I55&lt;&gt;"Reviewed"),"Review required","Ready for qualified review")))</x:f>
      </x:c>
      <x:c r="K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75" t="str">
        <x:f>IF(A56="","",IF(OR(B56="",C56="",D56="",E56="",F56="",H56="",I56=""),"Incomplete",IF(OR(E56="Working hypothesis",E56="Unresolved",I56&lt;&gt;"Reviewed"),"Review required","Ready for qualified review")))</x:f>
      </x:c>
      <x:c r="K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75" t="str">
        <x:f>IF(A57="","",IF(OR(B57="",C57="",D57="",E57="",F57="",H57="",I57=""),"Incomplete",IF(OR(E57="Working hypothesis",E57="Unresolved",I57&lt;&gt;"Reviewed"),"Review required","Ready for qualified review")))</x:f>
      </x:c>
      <x:c r="K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75" t="str">
        <x:f>IF(A58="","",IF(OR(B58="",C58="",D58="",E58="",F58="",H58="",I58=""),"Incomplete",IF(OR(E58="Working hypothesis",E58="Unresolved",I58&lt;&gt;"Reviewed"),"Review required","Ready for qualified review")))</x:f>
      </x:c>
      <x:c r="K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75" t="str">
        <x:f>IF(A59="","",IF(OR(B59="",C59="",D59="",E59="",F59="",H59="",I59=""),"Incomplete",IF(OR(E59="Working hypothesis",E59="Unresolved",I59&lt;&gt;"Reviewed"),"Review required","Ready for qualified review")))</x:f>
      </x:c>
      <x:c r="K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75" t="str">
        <x:f>IF(A60="","",IF(OR(B60="",C60="",D60="",E60="",F60="",H60="",I60=""),"Incomplete",IF(OR(E60="Working hypothesis",E60="Unresolved",I60&lt;&gt;"Reviewed"),"Review required","Ready for qualified review")))</x:f>
      </x:c>
      <x:c r="K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75" t="str">
        <x:f>IF(A61="","",IF(OR(B61="",C61="",D61="",E61="",F61="",H61="",I61=""),"Incomplete",IF(OR(E61="Working hypothesis",E61="Unresolved",I61&lt;&gt;"Reviewed"),"Review required","Ready for qualified review")))</x:f>
      </x:c>
      <x:c r="K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75" t="str">
        <x:f>IF(A62="","",IF(OR(B62="",C62="",D62="",E62="",F62="",H62="",I62=""),"Incomplete",IF(OR(E62="Working hypothesis",E62="Unresolved",I62&lt;&gt;"Reviewed"),"Review required","Ready for qualified review")))</x:f>
      </x:c>
      <x:c r="K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75" t="str">
        <x:f>IF(A63="","",IF(OR(B63="",C63="",D63="",E63="",F63="",H63="",I63=""),"Incomplete",IF(OR(E63="Working hypothesis",E63="Unresolved",I63&lt;&gt;"Reviewed"),"Review required","Ready for qualified review")))</x:f>
      </x:c>
      <x:c r="K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75" t="str">
        <x:f>IF(A64="","",IF(OR(B64="",C64="",D64="",E64="",F64="",H64="",I64=""),"Incomplete",IF(OR(E64="Working hypothesis",E64="Unresolved",I64&lt;&gt;"Reviewed"),"Review required","Ready for qualified review")))</x:f>
      </x:c>
      <x:c r="K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75" t="str">
        <x:f>IF(A65="","",IF(OR(B65="",C65="",D65="",E65="",F65="",H65="",I65=""),"Incomplete",IF(OR(E65="Working hypothesis",E65="Unresolved",I65&lt;&gt;"Reviewed"),"Review required","Ready for qualified review")))</x:f>
      </x:c>
      <x:c r="K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75" t="str">
        <x:f>IF(A66="","",IF(OR(B66="",C66="",D66="",E66="",F66="",H66="",I66=""),"Incomplete",IF(OR(E66="Working hypothesis",E66="Unresolved",I66&lt;&gt;"Reviewed"),"Review required","Ready for qualified review")))</x:f>
      </x:c>
      <x:c r="K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75" t="str">
        <x:f>IF(A67="","",IF(OR(B67="",C67="",D67="",E67="",F67="",H67="",I67=""),"Incomplete",IF(OR(E67="Working hypothesis",E67="Unresolved",I67&lt;&gt;"Reviewed"),"Review required","Ready for qualified review")))</x:f>
      </x:c>
      <x:c r="K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75" t="str">
        <x:f>IF(A68="","",IF(OR(B68="",C68="",D68="",E68="",F68="",H68="",I68=""),"Incomplete",IF(OR(E68="Working hypothesis",E68="Unresolved",I68&lt;&gt;"Reviewed"),"Review required","Ready for qualified review")))</x:f>
      </x:c>
      <x:c r="K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75" t="str">
        <x:f>IF(A69="","",IF(OR(B69="",C69="",D69="",E69="",F69="",H69="",I69=""),"Incomplete",IF(OR(E69="Working hypothesis",E69="Unresolved",I69&lt;&gt;"Reviewed"),"Review required","Ready for qualified review")))</x:f>
      </x:c>
      <x:c r="K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75" t="str">
        <x:f>IF(A70="","",IF(OR(B70="",C70="",D70="",E70="",F70="",H70="",I70=""),"Incomplete",IF(OR(E70="Working hypothesis",E70="Unresolved",I70&lt;&gt;"Reviewed"),"Review required","Ready for qualified review")))</x:f>
      </x:c>
      <x:c r="K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75" t="str">
        <x:f>IF(A71="","",IF(OR(B71="",C71="",D71="",E71="",F71="",H71="",I71=""),"Incomplete",IF(OR(E71="Working hypothesis",E71="Unresolved",I71&lt;&gt;"Reviewed"),"Review required","Ready for qualified review")))</x:f>
      </x:c>
      <x:c r="K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75" t="str">
        <x:f>IF(A72="","",IF(OR(B72="",C72="",D72="",E72="",F72="",H72="",I72=""),"Incomplete",IF(OR(E72="Working hypothesis",E72="Unresolved",I72&lt;&gt;"Reviewed"),"Review required","Ready for qualified review")))</x:f>
      </x:c>
      <x:c r="K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75" t="str">
        <x:f>IF(A73="","",IF(OR(B73="",C73="",D73="",E73="",F73="",H73="",I73=""),"Incomplete",IF(OR(E73="Working hypothesis",E73="Unresolved",I73&lt;&gt;"Reviewed"),"Review required","Ready for qualified review")))</x:f>
      </x:c>
      <x:c r="K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75" t="str">
        <x:f>IF(A74="","",IF(OR(B74="",C74="",D74="",E74="",F74="",H74="",I74=""),"Incomplete",IF(OR(E74="Working hypothesis",E74="Unresolved",I74&lt;&gt;"Reviewed"),"Review required","Ready for qualified review")))</x:f>
      </x:c>
      <x:c r="K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75" t="str">
        <x:f>IF(A75="","",IF(OR(B75="",C75="",D75="",E75="",F75="",H75="",I75=""),"Incomplete",IF(OR(E75="Working hypothesis",E75="Unresolved",I75&lt;&gt;"Reviewed"),"Review required","Ready for qualified review")))</x:f>
      </x:c>
      <x:c r="K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75" t="str">
        <x:f>IF(A76="","",IF(OR(B76="",C76="",D76="",E76="",F76="",H76="",I76=""),"Incomplete",IF(OR(E76="Working hypothesis",E76="Unresolved",I76&lt;&gt;"Reviewed"),"Review required","Ready for qualified review")))</x:f>
      </x:c>
      <x:c r="K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75" t="str">
        <x:f>IF(A77="","",IF(OR(B77="",C77="",D77="",E77="",F77="",H77="",I77=""),"Incomplete",IF(OR(E77="Working hypothesis",E77="Unresolved",I77&lt;&gt;"Reviewed"),"Review required","Ready for qualified review")))</x:f>
      </x:c>
      <x:c r="K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75" t="str">
        <x:f>IF(A78="","",IF(OR(B78="",C78="",D78="",E78="",F78="",H78="",I78=""),"Incomplete",IF(OR(E78="Working hypothesis",E78="Unresolved",I78&lt;&gt;"Reviewed"),"Review required","Ready for qualified review")))</x:f>
      </x:c>
      <x:c r="K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75" t="str">
        <x:f>IF(A79="","",IF(OR(B79="",C79="",D79="",E79="",F79="",H79="",I79=""),"Incomplete",IF(OR(E79="Working hypothesis",E79="Unresolved",I79&lt;&gt;"Reviewed"),"Review required","Ready for qualified review")))</x:f>
      </x:c>
      <x:c r="K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75" t="str">
        <x:f>IF(A80="","",IF(OR(B80="",C80="",D80="",E80="",F80="",H80="",I80=""),"Incomplete",IF(OR(E80="Working hypothesis",E80="Unresolved",I80&lt;&gt;"Reviewed"),"Review required","Ready for qualified review")))</x:f>
      </x:c>
      <x:c r="K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75" t="str">
        <x:f>IF(A81="","",IF(OR(B81="",C81="",D81="",E81="",F81="",H81="",I81=""),"Incomplete",IF(OR(E81="Working hypothesis",E81="Unresolved",I81&lt;&gt;"Reviewed"),"Review required","Ready for qualified review")))</x:f>
      </x:c>
      <x:c r="K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75" t="str">
        <x:f>IF(A82="","",IF(OR(B82="",C82="",D82="",E82="",F82="",H82="",I82=""),"Incomplete",IF(OR(E82="Working hypothesis",E82="Unresolved",I82&lt;&gt;"Reviewed"),"Review required","Ready for qualified review")))</x:f>
      </x:c>
      <x:c r="K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75" t="str">
        <x:f>IF(A83="","",IF(OR(B83="",C83="",D83="",E83="",F83="",H83="",I83=""),"Incomplete",IF(OR(E83="Working hypothesis",E83="Unresolved",I83&lt;&gt;"Reviewed"),"Review required","Ready for qualified review")))</x:f>
      </x:c>
      <x:c r="K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75" t="str">
        <x:f>IF(A84="","",IF(OR(B84="",C84="",D84="",E84="",F84="",H84="",I84=""),"Incomplete",IF(OR(E84="Working hypothesis",E84="Unresolved",I84&lt;&gt;"Reviewed"),"Review required","Ready for qualified review")))</x:f>
      </x:c>
      <x:c r="K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75" t="str">
        <x:f>IF(A85="","",IF(OR(B85="",C85="",D85="",E85="",F85="",H85="",I85=""),"Incomplete",IF(OR(E85="Working hypothesis",E85="Unresolved",I85&lt;&gt;"Reviewed"),"Review required","Ready for qualified review")))</x:f>
      </x:c>
      <x:c r="K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75" t="str">
        <x:f>IF(A86="","",IF(OR(B86="",C86="",D86="",E86="",F86="",H86="",I86=""),"Incomplete",IF(OR(E86="Working hypothesis",E86="Unresolved",I86&lt;&gt;"Reviewed"),"Review required","Ready for qualified review")))</x:f>
      </x:c>
      <x:c r="K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75" t="str">
        <x:f>IF(A87="","",IF(OR(B87="",C87="",D87="",E87="",F87="",H87="",I87=""),"Incomplete",IF(OR(E87="Working hypothesis",E87="Unresolved",I87&lt;&gt;"Reviewed"),"Review required","Ready for qualified review")))</x:f>
      </x:c>
      <x:c r="K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75" t="str">
        <x:f>IF(A88="","",IF(OR(B88="",C88="",D88="",E88="",F88="",H88="",I88=""),"Incomplete",IF(OR(E88="Working hypothesis",E88="Unresolved",I88&lt;&gt;"Reviewed"),"Review required","Ready for qualified review")))</x:f>
      </x:c>
      <x:c r="K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75" t="str">
        <x:f>IF(A89="","",IF(OR(B89="",C89="",D89="",E89="",F89="",H89="",I89=""),"Incomplete",IF(OR(E89="Working hypothesis",E89="Unresolved",I89&lt;&gt;"Reviewed"),"Review required","Ready for qualified review")))</x:f>
      </x:c>
      <x:c r="K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75" t="str">
        <x:f>IF(A90="","",IF(OR(B90="",C90="",D90="",E90="",F90="",H90="",I90=""),"Incomplete",IF(OR(E90="Working hypothesis",E90="Unresolved",I90&lt;&gt;"Reviewed"),"Review required","Ready for qualified review")))</x:f>
      </x:c>
      <x:c r="K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75" t="str">
        <x:f>IF(A91="","",IF(OR(B91="",C91="",D91="",E91="",F91="",H91="",I91=""),"Incomplete",IF(OR(E91="Working hypothesis",E91="Unresolved",I91&lt;&gt;"Reviewed"),"Review required","Ready for qualified review")))</x:f>
      </x:c>
      <x:c r="K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75" t="str">
        <x:f>IF(A92="","",IF(OR(B92="",C92="",D92="",E92="",F92="",H92="",I92=""),"Incomplete",IF(OR(E92="Working hypothesis",E92="Unresolved",I92&lt;&gt;"Reviewed"),"Review required","Ready for qualified review")))</x:f>
      </x:c>
      <x:c r="K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75" t="str">
        <x:f>IF(A93="","",IF(OR(B93="",C93="",D93="",E93="",F93="",H93="",I93=""),"Incomplete",IF(OR(E93="Working hypothesis",E93="Unresolved",I93&lt;&gt;"Reviewed"),"Review required","Ready for qualified review")))</x:f>
      </x:c>
      <x:c r="K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75" t="str">
        <x:f>IF(A94="","",IF(OR(B94="",C94="",D94="",E94="",F94="",H94="",I94=""),"Incomplete",IF(OR(E94="Working hypothesis",E94="Unresolved",I94&lt;&gt;"Reviewed"),"Review required","Ready for qualified review")))</x:f>
      </x:c>
      <x:c r="K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75" t="str">
        <x:f>IF(A95="","",IF(OR(B95="",C95="",D95="",E95="",F95="",H95="",I95=""),"Incomplete",IF(OR(E95="Working hypothesis",E95="Unresolved",I95&lt;&gt;"Reviewed"),"Review required","Ready for qualified review")))</x:f>
      </x:c>
      <x:c r="K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75" t="str">
        <x:f>IF(A96="","",IF(OR(B96="",C96="",D96="",E96="",F96="",H96="",I96=""),"Incomplete",IF(OR(E96="Working hypothesis",E96="Unresolved",I96&lt;&gt;"Reviewed"),"Review required","Ready for qualified review")))</x:f>
      </x:c>
      <x:c r="K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75" t="str">
        <x:f>IF(A97="","",IF(OR(B97="",C97="",D97="",E97="",F97="",H97="",I97=""),"Incomplete",IF(OR(E97="Working hypothesis",E97="Unresolved",I97&lt;&gt;"Reviewed"),"Review required","Ready for qualified review")))</x:f>
      </x:c>
      <x:c r="K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75" t="str">
        <x:f>IF(A98="","",IF(OR(B98="",C98="",D98="",E98="",F98="",H98="",I98=""),"Incomplete",IF(OR(E98="Working hypothesis",E98="Unresolved",I98&lt;&gt;"Reviewed"),"Review required","Ready for qualified review")))</x:f>
      </x:c>
      <x:c r="K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75" t="str">
        <x:f>IF(A99="","",IF(OR(B99="",C99="",D99="",E99="",F99="",H99="",I99=""),"Incomplete",IF(OR(E99="Working hypothesis",E99="Unresolved",I99&lt;&gt;"Reviewed"),"Review required","Ready for qualified review")))</x:f>
      </x:c>
      <x:c r="K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75" t="str">
        <x:f>IF(A100="","",IF(OR(B100="",C100="",D100="",E100="",F100="",H100="",I100=""),"Incomplete",IF(OR(E100="Working hypothesis",E100="Unresolved",I100&lt;&gt;"Reviewed"),"Review required","Ready for qualified review")))</x:f>
      </x:c>
      <x:c r="K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75" t="str">
        <x:f>IF(A101="","",IF(OR(B101="",C101="",D101="",E101="",F101="",H101="",I101=""),"Incomplete",IF(OR(E101="Working hypothesis",E101="Unresolved",I101&lt;&gt;"Reviewed"),"Review required","Ready for qualified review")))</x:f>
      </x:c>
      <x:c r="K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75" t="str">
        <x:f>IF(A102="","",IF(OR(B102="",C102="",D102="",E102="",F102="",H102="",I102=""),"Incomplete",IF(OR(E102="Working hypothesis",E102="Unresolved",I102&lt;&gt;"Reviewed"),"Review required","Ready for qualified review")))</x:f>
      </x:c>
      <x:c r="K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75" t="str">
        <x:f>IF(A103="","",IF(OR(B103="",C103="",D103="",E103="",F103="",H103="",I103=""),"Incomplete",IF(OR(E103="Working hypothesis",E103="Unresolved",I103&lt;&gt;"Reviewed"),"Review required","Ready for qualified review")))</x:f>
      </x:c>
      <x:c r="K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75" t="str">
        <x:f>IF(A104="","",IF(OR(B104="",C104="",D104="",E104="",F104="",H104="",I104=""),"Incomplete",IF(OR(E104="Working hypothesis",E104="Unresolved",I104&lt;&gt;"Reviewed"),"Review required","Ready for qualified review")))</x:f>
      </x:c>
      <x:c r="K104" s="69"/>
    </x:row>
    <x:row r="105">
      <x:c r="A105" s="70"/>
      <x:c r="B105" s="70"/>
      <x:c r="C105" s="70"/>
      <x:c r="D105" s="70"/>
      <x:c r="E105" s="70"/>
      <x:c r="F105" s="70"/>
      <x:c r="G105" s="70"/>
      <x:c r="H105" s="70"/>
      <x:c r="I105" s="70"/>
      <x:c r="J105" s="76" t="str">
        <x:f>IF(A105="","",IF(OR(B105="",C105="",D105="",E105="",F105="",H105="",I105=""),"Incomplete",IF(OR(E105="Working hypothesis",E105="Unresolved",I105&lt;&gt;"Reviewed"),"Review required","Ready for qualified review")))</x:f>
      </x:c>
      <x:c r="K105" s="70"/>
    </x:row>
  </x:sheetData>
  <x:mergeCells>
    <x:mergeCell ref="A1:K1"/>
    <x:mergeCell ref="A2:K2"/>
  </x:mergeCells>
  <x:conditionalFormatting sqref="J6:J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4">
    <x:dataValidation type="list" sqref="C6:C105">
      <x:formula1>"Identity,Activity / potency,Heterogeneity,Purity,Process-related impurity,Safety,Stability,Other"</x:formula1>
    </x:dataValidation>
    <x:dataValidation type="list" sqref="E6:E105">
      <x:formula1>"Supported criticality,Working hypothesis,Not material within scope,Unresolved"</x:formula1>
    </x:dataValidation>
    <x:dataValidation type="list" sqref="H6:H105">
      <x:formula1>"Material control,Procedural / recipe control,Parameter control,Process monitoring,In-process control,Downstream control,Characterization,Release,Stability,Process validation,Continued verification,Evidence required,Combination"</x:formula1>
    </x:dataValidation>
    <x:dataValidation type="list" sqref="I6:I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4" hidden="0" customWidth="1"/>
    <x:col min="5" max="5" width="42" hidden="0" customWidth="1"/>
    <x:col min="6" max="6" width="20" hidden="0" customWidth="1"/>
    <x:col min="7" max="7" width="18" hidden="0" customWidth="1"/>
    <x:col min="8" max="8" width="23" hidden="0" customWidth="1"/>
    <x:col min="9" max="9" width="30" hidden="0" customWidth="1"/>
    <x:col min="10" max="10" width="30" hidden="0" customWidth="1"/>
    <x:col min="11" max="11" width="28" hidden="0" customWidth="1"/>
    <x:col min="12" max="12" width="28" hidden="0" customWidth="1"/>
    <x:col min="13" max="13" width="22" hidden="0" customWidth="1"/>
    <x:col min="14" max="14" width="16" hidden="0" customWidth="1"/>
    <x:col min="15" max="15" width="22" hidden="0" customWidth="1"/>
  </x:cols>
  <x:sheetData>
    <x:row r="1" ht="28" customHeight="1">
      <x:c r="A1" s="3" t="str">
        <x:v>Process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One row per proposed material/parameter/performance-to-product relationship; no universal parameter list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4" customHeight="1">
      <x:c r="A5" s="55" t="str">
        <x:v>Link ID</x:v>
      </x:c>
      <x:c r="B5" s="56" t="str">
        <x:v>Process stage</x:v>
      </x:c>
      <x:c r="C5" s="56" t="str">
        <x:v>Record type</x:v>
      </x:c>
      <x:c r="D5" s="56" t="str">
        <x:v>Variable or attribute</x:v>
      </x:c>
      <x:c r="E5" s="56" t="str">
        <x:v>Proposed relationship / mechanism</x:v>
      </x:c>
      <x:c r="F5" s="56" t="str">
        <x:v>Affected attribute IDs</x:v>
      </x:c>
      <x:c r="G5" s="56" t="str">
        <x:v>Evidence IDs</x:v>
      </x:c>
      <x:c r="H5" s="56" t="str">
        <x:v>Evidence strength</x:v>
      </x:c>
      <x:c r="I5" s="56" t="str">
        <x:v>Scope / studied context</x:v>
      </x:c>
      <x:c r="J5" s="56" t="str">
        <x:v>Control or monitoring</x:v>
      </x:c>
      <x:c r="K5" s="56" t="str">
        <x:v>Range / criterion reference</x:v>
      </x:c>
      <x:c r="L5" s="56" t="str">
        <x:v>Lifecycle trigger</x:v>
      </x:c>
      <x:c r="M5" s="56" t="str">
        <x:v>Owner role</x:v>
      </x:c>
      <x:c r="N5" s="56" t="str">
        <x:v>Review status</x:v>
      </x:c>
      <x:c r="O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74" t="str">
        <x:f>IF(A6="","",IF(OR(B6="",C6="",D6="",E6="",F6="",G6="",H6="",I6="",J6="",K6="",L6="",M6="",N6=""),"Incomplete",IF(OR(H6="Hypothesis",H6="Observed association",H6="Contradictory or unresolved",N6&lt;&gt;"Reviewed",K6="Evidence required"),"Review required","Ready for qualified review")))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75" t="str">
        <x:f>IF(A7="","",IF(OR(B7="",C7="",D7="",E7="",F7="",G7="",H7="",I7="",J7="",K7="",L7="",M7="",N7=""),"Incomplete",IF(OR(H7="Hypothesis",H7="Observed association",H7="Contradictory or unresolved",N7&lt;&gt;"Reviewed",K7="Evidence required"),"Review required","Ready for qualified review")))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75" t="str">
        <x:f>IF(A8="","",IF(OR(B8="",C8="",D8="",E8="",F8="",G8="",H8="",I8="",J8="",K8="",L8="",M8="",N8=""),"Incomplete",IF(OR(H8="Hypothesis",H8="Observed association",H8="Contradictory or unresolved",N8&lt;&gt;"Reviewed",K8="Evidence required"),"Review required","Ready for qualified review")))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75" t="str">
        <x:f>IF(A9="","",IF(OR(B9="",C9="",D9="",E9="",F9="",G9="",H9="",I9="",J9="",K9="",L9="",M9="",N9=""),"Incomplete",IF(OR(H9="Hypothesis",H9="Observed association",H9="Contradictory or unresolved",N9&lt;&gt;"Reviewed",K9="Evidence required"),"Review required","Ready for qualified review")))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75" t="str">
        <x:f>IF(A10="","",IF(OR(B10="",C10="",D10="",E10="",F10="",G10="",H10="",I10="",J10="",K10="",L10="",M10="",N10=""),"Incomplete",IF(OR(H10="Hypothesis",H10="Observed association",H10="Contradictory or unresolved",N10&lt;&gt;"Reviewed",K10="Evidence required"),"Review required","Ready for qualified review")))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75" t="str">
        <x:f>IF(A11="","",IF(OR(B11="",C11="",D11="",E11="",F11="",G11="",H11="",I11="",J11="",K11="",L11="",M11="",N11=""),"Incomplete",IF(OR(H11="Hypothesis",H11="Observed association",H11="Contradictory or unresolved",N11&lt;&gt;"Reviewed",K11="Evidence required"),"Review required","Ready for qualified review")))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75" t="str">
        <x:f>IF(A12="","",IF(OR(B12="",C12="",D12="",E12="",F12="",G12="",H12="",I12="",J12="",K12="",L12="",M12="",N12=""),"Incomplete",IF(OR(H12="Hypothesis",H12="Observed association",H12="Contradictory or unresolved",N12&lt;&gt;"Reviewed",K12="Evidence required"),"Review required","Ready for qualified review")))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75" t="str">
        <x:f>IF(A13="","",IF(OR(B13="",C13="",D13="",E13="",F13="",G13="",H13="",I13="",J13="",K13="",L13="",M13="",N13=""),"Incomplete",IF(OR(H13="Hypothesis",H13="Observed association",H13="Contradictory or unresolved",N13&lt;&gt;"Reviewed",K13="Evidence required"),"Review required","Ready for qualified review")))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75" t="str">
        <x:f>IF(A14="","",IF(OR(B14="",C14="",D14="",E14="",F14="",G14="",H14="",I14="",J14="",K14="",L14="",M14="",N14=""),"Incomplete",IF(OR(H14="Hypothesis",H14="Observed association",H14="Contradictory or unresolved",N14&lt;&gt;"Reviewed",K14="Evidence required"),"Review required","Ready for qualified review")))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75" t="str">
        <x:f>IF(A15="","",IF(OR(B15="",C15="",D15="",E15="",F15="",G15="",H15="",I15="",J15="",K15="",L15="",M15="",N15=""),"Incomplete",IF(OR(H15="Hypothesis",H15="Observed association",H15="Contradictory or unresolved",N15&lt;&gt;"Reviewed",K15="Evidence required"),"Review required","Ready for qualified review")))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75" t="str">
        <x:f>IF(A16="","",IF(OR(B16="",C16="",D16="",E16="",F16="",G16="",H16="",I16="",J16="",K16="",L16="",M16="",N16=""),"Incomplete",IF(OR(H16="Hypothesis",H16="Observed association",H16="Contradictory or unresolved",N16&lt;&gt;"Reviewed",K16="Evidence required"),"Review required","Ready for qualified review")))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75" t="str">
        <x:f>IF(A17="","",IF(OR(B17="",C17="",D17="",E17="",F17="",G17="",H17="",I17="",J17="",K17="",L17="",M17="",N17=""),"Incomplete",IF(OR(H17="Hypothesis",H17="Observed association",H17="Contradictory or unresolved",N17&lt;&gt;"Reviewed",K17="Evidence required"),"Review required","Ready for qualified review")))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75" t="str">
        <x:f>IF(A18="","",IF(OR(B18="",C18="",D18="",E18="",F18="",G18="",H18="",I18="",J18="",K18="",L18="",M18="",N18=""),"Incomplete",IF(OR(H18="Hypothesis",H18="Observed association",H18="Contradictory or unresolved",N18&lt;&gt;"Reviewed",K18="Evidence required"),"Review required","Ready for qualified review")))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75" t="str">
        <x:f>IF(A19="","",IF(OR(B19="",C19="",D19="",E19="",F19="",G19="",H19="",I19="",J19="",K19="",L19="",M19="",N19=""),"Incomplete",IF(OR(H19="Hypothesis",H19="Observed association",H19="Contradictory or unresolved",N19&lt;&gt;"Reviewed",K19="Evidence required"),"Review required","Ready for qualified review")))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75" t="str">
        <x:f>IF(A20="","",IF(OR(B20="",C20="",D20="",E20="",F20="",G20="",H20="",I20="",J20="",K20="",L20="",M20="",N20=""),"Incomplete",IF(OR(H20="Hypothesis",H20="Observed association",H20="Contradictory or unresolved",N20&lt;&gt;"Reviewed",K20="Evidence required"),"Review required","Ready for qualified review")))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75" t="str">
        <x:f>IF(A21="","",IF(OR(B21="",C21="",D21="",E21="",F21="",G21="",H21="",I21="",J21="",K21="",L21="",M21="",N21=""),"Incomplete",IF(OR(H21="Hypothesis",H21="Observed association",H21="Contradictory or unresolved",N21&lt;&gt;"Reviewed",K21="Evidence required"),"Review required","Ready for qualified review")))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75" t="str">
        <x:f>IF(A22="","",IF(OR(B22="",C22="",D22="",E22="",F22="",G22="",H22="",I22="",J22="",K22="",L22="",M22="",N22=""),"Incomplete",IF(OR(H22="Hypothesis",H22="Observed association",H22="Contradictory or unresolved",N22&lt;&gt;"Reviewed",K22="Evidence required"),"Review required","Ready for qualified review")))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75" t="str">
        <x:f>IF(A23="","",IF(OR(B23="",C23="",D23="",E23="",F23="",G23="",H23="",I23="",J23="",K23="",L23="",M23="",N23=""),"Incomplete",IF(OR(H23="Hypothesis",H23="Observed association",H23="Contradictory or unresolved",N23&lt;&gt;"Reviewed",K23="Evidence required"),"Review required","Ready for qualified review")))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75" t="str">
        <x:f>IF(A24="","",IF(OR(B24="",C24="",D24="",E24="",F24="",G24="",H24="",I24="",J24="",K24="",L24="",M24="",N24=""),"Incomplete",IF(OR(H24="Hypothesis",H24="Observed association",H24="Contradictory or unresolved",N24&lt;&gt;"Reviewed",K24="Evidence required"),"Review required","Ready for qualified review")))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75" t="str">
        <x:f>IF(A25="","",IF(OR(B25="",C25="",D25="",E25="",F25="",G25="",H25="",I25="",J25="",K25="",L25="",M25="",N25=""),"Incomplete",IF(OR(H25="Hypothesis",H25="Observed association",H25="Contradictory or unresolved",N25&lt;&gt;"Reviewed",K25="Evidence required"),"Review required","Ready for qualified review")))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75" t="str">
        <x:f>IF(A26="","",IF(OR(B26="",C26="",D26="",E26="",F26="",G26="",H26="",I26="",J26="",K26="",L26="",M26="",N26=""),"Incomplete",IF(OR(H26="Hypothesis",H26="Observed association",H26="Contradictory or unresolved",N26&lt;&gt;"Reviewed",K26="Evidence required"),"Review required","Ready for qualified review")))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75" t="str">
        <x:f>IF(A27="","",IF(OR(B27="",C27="",D27="",E27="",F27="",G27="",H27="",I27="",J27="",K27="",L27="",M27="",N27=""),"Incomplete",IF(OR(H27="Hypothesis",H27="Observed association",H27="Contradictory or unresolved",N27&lt;&gt;"Reviewed",K27="Evidence required"),"Review required","Ready for qualified review")))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75" t="str">
        <x:f>IF(A28="","",IF(OR(B28="",C28="",D28="",E28="",F28="",G28="",H28="",I28="",J28="",K28="",L28="",M28="",N28=""),"Incomplete",IF(OR(H28="Hypothesis",H28="Observed association",H28="Contradictory or unresolved",N28&lt;&gt;"Reviewed",K28="Evidence required"),"Review required","Ready for qualified review")))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75" t="str">
        <x:f>IF(A29="","",IF(OR(B29="",C29="",D29="",E29="",F29="",G29="",H29="",I29="",J29="",K29="",L29="",M29="",N29=""),"Incomplete",IF(OR(H29="Hypothesis",H29="Observed association",H29="Contradictory or unresolved",N29&lt;&gt;"Reviewed",K29="Evidence required"),"Review required","Ready for qualified review")))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75" t="str">
        <x:f>IF(A30="","",IF(OR(B30="",C30="",D30="",E30="",F30="",G30="",H30="",I30="",J30="",K30="",L30="",M30="",N30=""),"Incomplete",IF(OR(H30="Hypothesis",H30="Observed association",H30="Contradictory or unresolved",N30&lt;&gt;"Reviewed",K30="Evidence required"),"Review required","Ready for qualified review")))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75" t="str">
        <x:f>IF(A31="","",IF(OR(B31="",C31="",D31="",E31="",F31="",G31="",H31="",I31="",J31="",K31="",L31="",M31="",N31=""),"Incomplete",IF(OR(H31="Hypothesis",H31="Observed association",H31="Contradictory or unresolved",N31&lt;&gt;"Reviewed",K31="Evidence required"),"Review required","Ready for qualified review")))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75" t="str">
        <x:f>IF(A32="","",IF(OR(B32="",C32="",D32="",E32="",F32="",G32="",H32="",I32="",J32="",K32="",L32="",M32="",N32=""),"Incomplete",IF(OR(H32="Hypothesis",H32="Observed association",H32="Contradictory or unresolved",N32&lt;&gt;"Reviewed",K32="Evidence required"),"Review required","Ready for qualified review")))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75" t="str">
        <x:f>IF(A33="","",IF(OR(B33="",C33="",D33="",E33="",F33="",G33="",H33="",I33="",J33="",K33="",L33="",M33="",N33=""),"Incomplete",IF(OR(H33="Hypothesis",H33="Observed association",H33="Contradictory or unresolved",N33&lt;&gt;"Reviewed",K33="Evidence required"),"Review required","Ready for qualified review")))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75" t="str">
        <x:f>IF(A34="","",IF(OR(B34="",C34="",D34="",E34="",F34="",G34="",H34="",I34="",J34="",K34="",L34="",M34="",N34=""),"Incomplete",IF(OR(H34="Hypothesis",H34="Observed association",H34="Contradictory or unresolved",N34&lt;&gt;"Reviewed",K34="Evidence required"),"Review required","Ready for qualified review")))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75" t="str">
        <x:f>IF(A35="","",IF(OR(B35="",C35="",D35="",E35="",F35="",G35="",H35="",I35="",J35="",K35="",L35="",M35="",N35=""),"Incomplete",IF(OR(H35="Hypothesis",H35="Observed association",H35="Contradictory or unresolved",N35&lt;&gt;"Reviewed",K35="Evidence required"),"Review required","Ready for qualified review")))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75" t="str">
        <x:f>IF(A36="","",IF(OR(B36="",C36="",D36="",E36="",F36="",G36="",H36="",I36="",J36="",K36="",L36="",M36="",N36=""),"Incomplete",IF(OR(H36="Hypothesis",H36="Observed association",H36="Contradictory or unresolved",N36&lt;&gt;"Reviewed",K36="Evidence required"),"Review required","Ready for qualified review")))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75" t="str">
        <x:f>IF(A37="","",IF(OR(B37="",C37="",D37="",E37="",F37="",G37="",H37="",I37="",J37="",K37="",L37="",M37="",N37=""),"Incomplete",IF(OR(H37="Hypothesis",H37="Observed association",H37="Contradictory or unresolved",N37&lt;&gt;"Reviewed",K37="Evidence required"),"Review required","Ready for qualified review")))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75" t="str">
        <x:f>IF(A38="","",IF(OR(B38="",C38="",D38="",E38="",F38="",G38="",H38="",I38="",J38="",K38="",L38="",M38="",N38=""),"Incomplete",IF(OR(H38="Hypothesis",H38="Observed association",H38="Contradictory or unresolved",N38&lt;&gt;"Reviewed",K38="Evidence required"),"Review required","Ready for qualified review")))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75" t="str">
        <x:f>IF(A39="","",IF(OR(B39="",C39="",D39="",E39="",F39="",G39="",H39="",I39="",J39="",K39="",L39="",M39="",N39=""),"Incomplete",IF(OR(H39="Hypothesis",H39="Observed association",H39="Contradictory or unresolved",N39&lt;&gt;"Reviewed",K39="Evidence required"),"Review required","Ready for qualified review")))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75" t="str">
        <x:f>IF(A40="","",IF(OR(B40="",C40="",D40="",E40="",F40="",G40="",H40="",I40="",J40="",K40="",L40="",M40="",N40=""),"Incomplete",IF(OR(H40="Hypothesis",H40="Observed association",H40="Contradictory or unresolved",N40&lt;&gt;"Reviewed",K40="Evidence required"),"Review required","Ready for qualified review")))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75" t="str">
        <x:f>IF(A41="","",IF(OR(B41="",C41="",D41="",E41="",F41="",G41="",H41="",I41="",J41="",K41="",L41="",M41="",N41=""),"Incomplete",IF(OR(H41="Hypothesis",H41="Observed association",H41="Contradictory or unresolved",N41&lt;&gt;"Reviewed",K41="Evidence required"),"Review required","Ready for qualified review")))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75" t="str">
        <x:f>IF(A42="","",IF(OR(B42="",C42="",D42="",E42="",F42="",G42="",H42="",I42="",J42="",K42="",L42="",M42="",N42=""),"Incomplete",IF(OR(H42="Hypothesis",H42="Observed association",H42="Contradictory or unresolved",N42&lt;&gt;"Reviewed",K42="Evidence required"),"Review required","Ready for qualified review")))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75" t="str">
        <x:f>IF(A43="","",IF(OR(B43="",C43="",D43="",E43="",F43="",G43="",H43="",I43="",J43="",K43="",L43="",M43="",N43=""),"Incomplete",IF(OR(H43="Hypothesis",H43="Observed association",H43="Contradictory or unresolved",N43&lt;&gt;"Reviewed",K43="Evidence required"),"Review required","Ready for qualified review")))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75" t="str">
        <x:f>IF(A44="","",IF(OR(B44="",C44="",D44="",E44="",F44="",G44="",H44="",I44="",J44="",K44="",L44="",M44="",N44=""),"Incomplete",IF(OR(H44="Hypothesis",H44="Observed association",H44="Contradictory or unresolved",N44&lt;&gt;"Reviewed",K44="Evidence required"),"Review required","Ready for qualified review")))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75" t="str">
        <x:f>IF(A45="","",IF(OR(B45="",C45="",D45="",E45="",F45="",G45="",H45="",I45="",J45="",K45="",L45="",M45="",N45=""),"Incomplete",IF(OR(H45="Hypothesis",H45="Observed association",H45="Contradictory or unresolved",N45&lt;&gt;"Reviewed",K45="Evidence required"),"Review required","Ready for qualified review")))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75" t="str">
        <x:f>IF(A46="","",IF(OR(B46="",C46="",D46="",E46="",F46="",G46="",H46="",I46="",J46="",K46="",L46="",M46="",N46=""),"Incomplete",IF(OR(H46="Hypothesis",H46="Observed association",H46="Contradictory or unresolved",N46&lt;&gt;"Reviewed",K46="Evidence required"),"Review required","Ready for qualified review")))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75" t="str">
        <x:f>IF(A47="","",IF(OR(B47="",C47="",D47="",E47="",F47="",G47="",H47="",I47="",J47="",K47="",L47="",M47="",N47=""),"Incomplete",IF(OR(H47="Hypothesis",H47="Observed association",H47="Contradictory or unresolved",N47&lt;&gt;"Reviewed",K47="Evidence required"),"Review required","Ready for qualified review")))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75" t="str">
        <x:f>IF(A48="","",IF(OR(B48="",C48="",D48="",E48="",F48="",G48="",H48="",I48="",J48="",K48="",L48="",M48="",N48=""),"Incomplete",IF(OR(H48="Hypothesis",H48="Observed association",H48="Contradictory or unresolved",N48&lt;&gt;"Reviewed",K48="Evidence required"),"Review required","Ready for qualified review")))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75" t="str">
        <x:f>IF(A49="","",IF(OR(B49="",C49="",D49="",E49="",F49="",G49="",H49="",I49="",J49="",K49="",L49="",M49="",N49=""),"Incomplete",IF(OR(H49="Hypothesis",H49="Observed association",H49="Contradictory or unresolved",N49&lt;&gt;"Reviewed",K49="Evidence required"),"Review required","Ready for qualified review")))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75" t="str">
        <x:f>IF(A50="","",IF(OR(B50="",C50="",D50="",E50="",F50="",G50="",H50="",I50="",J50="",K50="",L50="",M50="",N50=""),"Incomplete",IF(OR(H50="Hypothesis",H50="Observed association",H50="Contradictory or unresolved",N50&lt;&gt;"Reviewed",K50="Evidence required"),"Review required","Ready for qualified review")))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75" t="str">
        <x:f>IF(A51="","",IF(OR(B51="",C51="",D51="",E51="",F51="",G51="",H51="",I51="",J51="",K51="",L51="",M51="",N51=""),"Incomplete",IF(OR(H51="Hypothesis",H51="Observed association",H51="Contradictory or unresolved",N51&lt;&gt;"Reviewed",K51="Evidence required"),"Review required","Ready for qualified review")))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75" t="str">
        <x:f>IF(A52="","",IF(OR(B52="",C52="",D52="",E52="",F52="",G52="",H52="",I52="",J52="",K52="",L52="",M52="",N52=""),"Incomplete",IF(OR(H52="Hypothesis",H52="Observed association",H52="Contradictory or unresolved",N52&lt;&gt;"Reviewed",K52="Evidence required"),"Review required","Ready for qualified review")))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75" t="str">
        <x:f>IF(A53="","",IF(OR(B53="",C53="",D53="",E53="",F53="",G53="",H53="",I53="",J53="",K53="",L53="",M53="",N53=""),"Incomplete",IF(OR(H53="Hypothesis",H53="Observed association",H53="Contradictory or unresolved",N53&lt;&gt;"Reviewed",K53="Evidence required"),"Review required","Ready for qualified review")))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75" t="str">
        <x:f>IF(A54="","",IF(OR(B54="",C54="",D54="",E54="",F54="",G54="",H54="",I54="",J54="",K54="",L54="",M54="",N54=""),"Incomplete",IF(OR(H54="Hypothesis",H54="Observed association",H54="Contradictory or unresolved",N54&lt;&gt;"Reviewed",K54="Evidence required"),"Review required","Ready for qualified review")))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75" t="str">
        <x:f>IF(A55="","",IF(OR(B55="",C55="",D55="",E55="",F55="",G55="",H55="",I55="",J55="",K55="",L55="",M55="",N55=""),"Incomplete",IF(OR(H55="Hypothesis",H55="Observed association",H55="Contradictory or unresolved",N55&lt;&gt;"Reviewed",K55="Evidence required"),"Review required","Ready for qualified review")))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75" t="str">
        <x:f>IF(A56="","",IF(OR(B56="",C56="",D56="",E56="",F56="",G56="",H56="",I56="",J56="",K56="",L56="",M56="",N56=""),"Incomplete",IF(OR(H56="Hypothesis",H56="Observed association",H56="Contradictory or unresolved",N56&lt;&gt;"Reviewed",K56="Evidence required"),"Review required","Ready for qualified review")))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75" t="str">
        <x:f>IF(A57="","",IF(OR(B57="",C57="",D57="",E57="",F57="",G57="",H57="",I57="",J57="",K57="",L57="",M57="",N57=""),"Incomplete",IF(OR(H57="Hypothesis",H57="Observed association",H57="Contradictory or unresolved",N57&lt;&gt;"Reviewed",K57="Evidence required"),"Review required","Ready for qualified review")))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75" t="str">
        <x:f>IF(A58="","",IF(OR(B58="",C58="",D58="",E58="",F58="",G58="",H58="",I58="",J58="",K58="",L58="",M58="",N58=""),"Incomplete",IF(OR(H58="Hypothesis",H58="Observed association",H58="Contradictory or unresolved",N58&lt;&gt;"Reviewed",K58="Evidence required"),"Review required","Ready for qualified review")))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75" t="str">
        <x:f>IF(A59="","",IF(OR(B59="",C59="",D59="",E59="",F59="",G59="",H59="",I59="",J59="",K59="",L59="",M59="",N59=""),"Incomplete",IF(OR(H59="Hypothesis",H59="Observed association",H59="Contradictory or unresolved",N59&lt;&gt;"Reviewed",K59="Evidence required"),"Review required","Ready for qualified review")))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75" t="str">
        <x:f>IF(A60="","",IF(OR(B60="",C60="",D60="",E60="",F60="",G60="",H60="",I60="",J60="",K60="",L60="",M60="",N60=""),"Incomplete",IF(OR(H60="Hypothesis",H60="Observed association",H60="Contradictory or unresolved",N60&lt;&gt;"Reviewed",K60="Evidence required"),"Review required","Ready for qualified review")))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75" t="str">
        <x:f>IF(A61="","",IF(OR(B61="",C61="",D61="",E61="",F61="",G61="",H61="",I61="",J61="",K61="",L61="",M61="",N61=""),"Incomplete",IF(OR(H61="Hypothesis",H61="Observed association",H61="Contradictory or unresolved",N61&lt;&gt;"Reviewed",K61="Evidence required"),"Review required","Ready for qualified review")))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75" t="str">
        <x:f>IF(A62="","",IF(OR(B62="",C62="",D62="",E62="",F62="",G62="",H62="",I62="",J62="",K62="",L62="",M62="",N62=""),"Incomplete",IF(OR(H62="Hypothesis",H62="Observed association",H62="Contradictory or unresolved",N62&lt;&gt;"Reviewed",K62="Evidence required"),"Review required","Ready for qualified review")))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75" t="str">
        <x:f>IF(A63="","",IF(OR(B63="",C63="",D63="",E63="",F63="",G63="",H63="",I63="",J63="",K63="",L63="",M63="",N63=""),"Incomplete",IF(OR(H63="Hypothesis",H63="Observed association",H63="Contradictory or unresolved",N63&lt;&gt;"Reviewed",K63="Evidence required"),"Review required","Ready for qualified review")))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75" t="str">
        <x:f>IF(A64="","",IF(OR(B64="",C64="",D64="",E64="",F64="",G64="",H64="",I64="",J64="",K64="",L64="",M64="",N64=""),"Incomplete",IF(OR(H64="Hypothesis",H64="Observed association",H64="Contradictory or unresolved",N64&lt;&gt;"Reviewed",K64="Evidence required"),"Review required","Ready for qualified review")))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75" t="str">
        <x:f>IF(A65="","",IF(OR(B65="",C65="",D65="",E65="",F65="",G65="",H65="",I65="",J65="",K65="",L65="",M65="",N65=""),"Incomplete",IF(OR(H65="Hypothesis",H65="Observed association",H65="Contradictory or unresolved",N65&lt;&gt;"Reviewed",K65="Evidence required"),"Review required","Ready for qualified review")))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75" t="str">
        <x:f>IF(A66="","",IF(OR(B66="",C66="",D66="",E66="",F66="",G66="",H66="",I66="",J66="",K66="",L66="",M66="",N66=""),"Incomplete",IF(OR(H66="Hypothesis",H66="Observed association",H66="Contradictory or unresolved",N66&lt;&gt;"Reviewed",K66="Evidence required"),"Review required","Ready for qualified review")))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75" t="str">
        <x:f>IF(A67="","",IF(OR(B67="",C67="",D67="",E67="",F67="",G67="",H67="",I67="",J67="",K67="",L67="",M67="",N67=""),"Incomplete",IF(OR(H67="Hypothesis",H67="Observed association",H67="Contradictory or unresolved",N67&lt;&gt;"Reviewed",K67="Evidence required"),"Review required","Ready for qualified review")))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75" t="str">
        <x:f>IF(A68="","",IF(OR(B68="",C68="",D68="",E68="",F68="",G68="",H68="",I68="",J68="",K68="",L68="",M68="",N68=""),"Incomplete",IF(OR(H68="Hypothesis",H68="Observed association",H68="Contradictory or unresolved",N68&lt;&gt;"Reviewed",K68="Evidence required"),"Review required","Ready for qualified review")))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75" t="str">
        <x:f>IF(A69="","",IF(OR(B69="",C69="",D69="",E69="",F69="",G69="",H69="",I69="",J69="",K69="",L69="",M69="",N69=""),"Incomplete",IF(OR(H69="Hypothesis",H69="Observed association",H69="Contradictory or unresolved",N69&lt;&gt;"Reviewed",K69="Evidence required"),"Review required","Ready for qualified review")))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75" t="str">
        <x:f>IF(A70="","",IF(OR(B70="",C70="",D70="",E70="",F70="",G70="",H70="",I70="",J70="",K70="",L70="",M70="",N70=""),"Incomplete",IF(OR(H70="Hypothesis",H70="Observed association",H70="Contradictory or unresolved",N70&lt;&gt;"Reviewed",K70="Evidence required"),"Review required","Ready for qualified review")))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75" t="str">
        <x:f>IF(A71="","",IF(OR(B71="",C71="",D71="",E71="",F71="",G71="",H71="",I71="",J71="",K71="",L71="",M71="",N71=""),"Incomplete",IF(OR(H71="Hypothesis",H71="Observed association",H71="Contradictory or unresolved",N71&lt;&gt;"Reviewed",K71="Evidence required"),"Review required","Ready for qualified review")))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75" t="str">
        <x:f>IF(A72="","",IF(OR(B72="",C72="",D72="",E72="",F72="",G72="",H72="",I72="",J72="",K72="",L72="",M72="",N72=""),"Incomplete",IF(OR(H72="Hypothesis",H72="Observed association",H72="Contradictory or unresolved",N72&lt;&gt;"Reviewed",K72="Evidence required"),"Review required","Ready for qualified review")))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75" t="str">
        <x:f>IF(A73="","",IF(OR(B73="",C73="",D73="",E73="",F73="",G73="",H73="",I73="",J73="",K73="",L73="",M73="",N73=""),"Incomplete",IF(OR(H73="Hypothesis",H73="Observed association",H73="Contradictory or unresolved",N73&lt;&gt;"Reviewed",K73="Evidence required"),"Review required","Ready for qualified review")))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75" t="str">
        <x:f>IF(A74="","",IF(OR(B74="",C74="",D74="",E74="",F74="",G74="",H74="",I74="",J74="",K74="",L74="",M74="",N74=""),"Incomplete",IF(OR(H74="Hypothesis",H74="Observed association",H74="Contradictory or unresolved",N74&lt;&gt;"Reviewed",K74="Evidence required"),"Review required","Ready for qualified review")))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75" t="str">
        <x:f>IF(A75="","",IF(OR(B75="",C75="",D75="",E75="",F75="",G75="",H75="",I75="",J75="",K75="",L75="",M75="",N75=""),"Incomplete",IF(OR(H75="Hypothesis",H75="Observed association",H75="Contradictory or unresolved",N75&lt;&gt;"Reviewed",K75="Evidence required"),"Review required","Ready for qualified review")))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75" t="str">
        <x:f>IF(A76="","",IF(OR(B76="",C76="",D76="",E76="",F76="",G76="",H76="",I76="",J76="",K76="",L76="",M76="",N76=""),"Incomplete",IF(OR(H76="Hypothesis",H76="Observed association",H76="Contradictory or unresolved",N76&lt;&gt;"Reviewed",K76="Evidence required"),"Review required","Ready for qualified review")))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75" t="str">
        <x:f>IF(A77="","",IF(OR(B77="",C77="",D77="",E77="",F77="",G77="",H77="",I77="",J77="",K77="",L77="",M77="",N77=""),"Incomplete",IF(OR(H77="Hypothesis",H77="Observed association",H77="Contradictory or unresolved",N77&lt;&gt;"Reviewed",K77="Evidence required"),"Review required","Ready for qualified review")))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75" t="str">
        <x:f>IF(A78="","",IF(OR(B78="",C78="",D78="",E78="",F78="",G78="",H78="",I78="",J78="",K78="",L78="",M78="",N78=""),"Incomplete",IF(OR(H78="Hypothesis",H78="Observed association",H78="Contradictory or unresolved",N78&lt;&gt;"Reviewed",K78="Evidence required"),"Review required","Ready for qualified review")))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75" t="str">
        <x:f>IF(A79="","",IF(OR(B79="",C79="",D79="",E79="",F79="",G79="",H79="",I79="",J79="",K79="",L79="",M79="",N79=""),"Incomplete",IF(OR(H79="Hypothesis",H79="Observed association",H79="Contradictory or unresolved",N79&lt;&gt;"Reviewed",K79="Evidence required"),"Review required","Ready for qualified review")))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75" t="str">
        <x:f>IF(A80="","",IF(OR(B80="",C80="",D80="",E80="",F80="",G80="",H80="",I80="",J80="",K80="",L80="",M80="",N80=""),"Incomplete",IF(OR(H80="Hypothesis",H80="Observed association",H80="Contradictory or unresolved",N80&lt;&gt;"Reviewed",K80="Evidence required"),"Review required","Ready for qualified review")))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75" t="str">
        <x:f>IF(A81="","",IF(OR(B81="",C81="",D81="",E81="",F81="",G81="",H81="",I81="",J81="",K81="",L81="",M81="",N81=""),"Incomplete",IF(OR(H81="Hypothesis",H81="Observed association",H81="Contradictory or unresolved",N81&lt;&gt;"Reviewed",K81="Evidence required"),"Review required","Ready for qualified review")))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75" t="str">
        <x:f>IF(A82="","",IF(OR(B82="",C82="",D82="",E82="",F82="",G82="",H82="",I82="",J82="",K82="",L82="",M82="",N82=""),"Incomplete",IF(OR(H82="Hypothesis",H82="Observed association",H82="Contradictory or unresolved",N82&lt;&gt;"Reviewed",K82="Evidence required"),"Review required","Ready for qualified review")))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75" t="str">
        <x:f>IF(A83="","",IF(OR(B83="",C83="",D83="",E83="",F83="",G83="",H83="",I83="",J83="",K83="",L83="",M83="",N83=""),"Incomplete",IF(OR(H83="Hypothesis",H83="Observed association",H83="Contradictory or unresolved",N83&lt;&gt;"Reviewed",K83="Evidence required"),"Review required","Ready for qualified review")))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75" t="str">
        <x:f>IF(A84="","",IF(OR(B84="",C84="",D84="",E84="",F84="",G84="",H84="",I84="",J84="",K84="",L84="",M84="",N84=""),"Incomplete",IF(OR(H84="Hypothesis",H84="Observed association",H84="Contradictory or unresolved",N84&lt;&gt;"Reviewed",K84="Evidence required"),"Review required","Ready for qualified review")))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75" t="str">
        <x:f>IF(A85="","",IF(OR(B85="",C85="",D85="",E85="",F85="",G85="",H85="",I85="",J85="",K85="",L85="",M85="",N85=""),"Incomplete",IF(OR(H85="Hypothesis",H85="Observed association",H85="Contradictory or unresolved",N85&lt;&gt;"Reviewed",K85="Evidence required"),"Review required","Ready for qualified review")))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75" t="str">
        <x:f>IF(A86="","",IF(OR(B86="",C86="",D86="",E86="",F86="",G86="",H86="",I86="",J86="",K86="",L86="",M86="",N86=""),"Incomplete",IF(OR(H86="Hypothesis",H86="Observed association",H86="Contradictory or unresolved",N86&lt;&gt;"Reviewed",K86="Evidence required"),"Review required","Ready for qualified review")))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75" t="str">
        <x:f>IF(A87="","",IF(OR(B87="",C87="",D87="",E87="",F87="",G87="",H87="",I87="",J87="",K87="",L87="",M87="",N87=""),"Incomplete",IF(OR(H87="Hypothesis",H87="Observed association",H87="Contradictory or unresolved",N87&lt;&gt;"Reviewed",K87="Evidence required"),"Review required","Ready for qualified review")))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75" t="str">
        <x:f>IF(A88="","",IF(OR(B88="",C88="",D88="",E88="",F88="",G88="",H88="",I88="",J88="",K88="",L88="",M88="",N88=""),"Incomplete",IF(OR(H88="Hypothesis",H88="Observed association",H88="Contradictory or unresolved",N88&lt;&gt;"Reviewed",K88="Evidence required"),"Review required","Ready for qualified review")))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75" t="str">
        <x:f>IF(A89="","",IF(OR(B89="",C89="",D89="",E89="",F89="",G89="",H89="",I89="",J89="",K89="",L89="",M89="",N89=""),"Incomplete",IF(OR(H89="Hypothesis",H89="Observed association",H89="Contradictory or unresolved",N89&lt;&gt;"Reviewed",K89="Evidence required"),"Review required","Ready for qualified review")))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75" t="str">
        <x:f>IF(A90="","",IF(OR(B90="",C90="",D90="",E90="",F90="",G90="",H90="",I90="",J90="",K90="",L90="",M90="",N90=""),"Incomplete",IF(OR(H90="Hypothesis",H90="Observed association",H90="Contradictory or unresolved",N90&lt;&gt;"Reviewed",K90="Evidence required"),"Review required","Ready for qualified review")))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75" t="str">
        <x:f>IF(A91="","",IF(OR(B91="",C91="",D91="",E91="",F91="",G91="",H91="",I91="",J91="",K91="",L91="",M91="",N91=""),"Incomplete",IF(OR(H91="Hypothesis",H91="Observed association",H91="Contradictory or unresolved",N91&lt;&gt;"Reviewed",K91="Evidence required"),"Review required","Ready for qualified review")))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75" t="str">
        <x:f>IF(A92="","",IF(OR(B92="",C92="",D92="",E92="",F92="",G92="",H92="",I92="",J92="",K92="",L92="",M92="",N92=""),"Incomplete",IF(OR(H92="Hypothesis",H92="Observed association",H92="Contradictory or unresolved",N92&lt;&gt;"Reviewed",K92="Evidence required"),"Review required","Ready for qualified review")))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75" t="str">
        <x:f>IF(A93="","",IF(OR(B93="",C93="",D93="",E93="",F93="",G93="",H93="",I93="",J93="",K93="",L93="",M93="",N93=""),"Incomplete",IF(OR(H93="Hypothesis",H93="Observed association",H93="Contradictory or unresolved",N93&lt;&gt;"Reviewed",K93="Evidence required"),"Review required","Ready for qualified review")))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75" t="str">
        <x:f>IF(A94="","",IF(OR(B94="",C94="",D94="",E94="",F94="",G94="",H94="",I94="",J94="",K94="",L94="",M94="",N94=""),"Incomplete",IF(OR(H94="Hypothesis",H94="Observed association",H94="Contradictory or unresolved",N94&lt;&gt;"Reviewed",K94="Evidence required"),"Review required","Ready for qualified review")))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75" t="str">
        <x:f>IF(A95="","",IF(OR(B95="",C95="",D95="",E95="",F95="",G95="",H95="",I95="",J95="",K95="",L95="",M95="",N95=""),"Incomplete",IF(OR(H95="Hypothesis",H95="Observed association",H95="Contradictory or unresolved",N95&lt;&gt;"Reviewed",K95="Evidence required"),"Review required","Ready for qualified review")))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75" t="str">
        <x:f>IF(A96="","",IF(OR(B96="",C96="",D96="",E96="",F96="",G96="",H96="",I96="",J96="",K96="",L96="",M96="",N96=""),"Incomplete",IF(OR(H96="Hypothesis",H96="Observed association",H96="Contradictory or unresolved",N96&lt;&gt;"Reviewed",K96="Evidence required"),"Review required","Ready for qualified review")))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75" t="str">
        <x:f>IF(A97="","",IF(OR(B97="",C97="",D97="",E97="",F97="",G97="",H97="",I97="",J97="",K97="",L97="",M97="",N97=""),"Incomplete",IF(OR(H97="Hypothesis",H97="Observed association",H97="Contradictory or unresolved",N97&lt;&gt;"Reviewed",K97="Evidence required"),"Review required","Ready for qualified review")))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75" t="str">
        <x:f>IF(A98="","",IF(OR(B98="",C98="",D98="",E98="",F98="",G98="",H98="",I98="",J98="",K98="",L98="",M98="",N98=""),"Incomplete",IF(OR(H98="Hypothesis",H98="Observed association",H98="Contradictory or unresolved",N98&lt;&gt;"Reviewed",K98="Evidence required"),"Review required","Ready for qualified review")))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75" t="str">
        <x:f>IF(A99="","",IF(OR(B99="",C99="",D99="",E99="",F99="",G99="",H99="",I99="",J99="",K99="",L99="",M99="",N99=""),"Incomplete",IF(OR(H99="Hypothesis",H99="Observed association",H99="Contradictory or unresolved",N99&lt;&gt;"Reviewed",K99="Evidence required"),"Review required","Ready for qualified review")))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75" t="str">
        <x:f>IF(A100="","",IF(OR(B100="",C100="",D100="",E100="",F100="",G100="",H100="",I100="",J100="",K100="",L100="",M100="",N100=""),"Incomplete",IF(OR(H100="Hypothesis",H100="Observed association",H100="Contradictory or unresolved",N100&lt;&gt;"Reviewed",K100="Evidence required"),"Review required","Ready for qualified review")))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75" t="str">
        <x:f>IF(A101="","",IF(OR(B101="",C101="",D101="",E101="",F101="",G101="",H101="",I101="",J101="",K101="",L101="",M101="",N101=""),"Incomplete",IF(OR(H101="Hypothesis",H101="Observed association",H101="Contradictory or unresolved",N101&lt;&gt;"Reviewed",K101="Evidence required"),"Review required","Ready for qualified review")))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75" t="str">
        <x:f>IF(A102="","",IF(OR(B102="",C102="",D102="",E102="",F102="",G102="",H102="",I102="",J102="",K102="",L102="",M102="",N102=""),"Incomplete",IF(OR(H102="Hypothesis",H102="Observed association",H102="Contradictory or unresolved",N102&lt;&gt;"Reviewed",K102="Evidence required"),"Review required","Ready for qualified review")))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75" t="str">
        <x:f>IF(A103="","",IF(OR(B103="",C103="",D103="",E103="",F103="",G103="",H103="",I103="",J103="",K103="",L103="",M103="",N103=""),"Incomplete",IF(OR(H103="Hypothesis",H103="Observed association",H103="Contradictory or unresolved",N103&lt;&gt;"Reviewed",K103="Evidence required"),"Review required","Ready for qualified review")))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75" t="str">
        <x:f>IF(A104="","",IF(OR(B104="",C104="",D104="",E104="",F104="",G104="",H104="",I104="",J104="",K104="",L104="",M104="",N104=""),"Incomplete",IF(OR(H104="Hypothesis",H104="Observed association",H104="Contradictory or unresolved",N104&lt;&gt;"Reviewed",K104="Evidence required"),"Review required","Ready for qualified review")))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75" t="str">
        <x:f>IF(A105="","",IF(OR(B105="",C105="",D105="",E105="",F105="",G105="",H105="",I105="",J105="",K105="",L105="",M105="",N105=""),"Incomplete",IF(OR(H105="Hypothesis",H105="Observed association",H105="Contradictory or unresolved",N105&lt;&gt;"Reviewed",K105="Evidence required"),"Review required","Ready for qualified review")))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75" t="str">
        <x:f>IF(A106="","",IF(OR(B106="",C106="",D106="",E106="",F106="",G106="",H106="",I106="",J106="",K106="",L106="",M106="",N106=""),"Incomplete",IF(OR(H106="Hypothesis",H106="Observed association",H106="Contradictory or unresolved",N106&lt;&gt;"Reviewed",K106="Evidence required"),"Review required","Ready for qualified review")))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75" t="str">
        <x:f>IF(A107="","",IF(OR(B107="",C107="",D107="",E107="",F107="",G107="",H107="",I107="",J107="",K107="",L107="",M107="",N107=""),"Incomplete",IF(OR(H107="Hypothesis",H107="Observed association",H107="Contradictory or unresolved",N107&lt;&gt;"Reviewed",K107="Evidence required"),"Review required","Ready for qualified review")))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75" t="str">
        <x:f>IF(A108="","",IF(OR(B108="",C108="",D108="",E108="",F108="",G108="",H108="",I108="",J108="",K108="",L108="",M108="",N108=""),"Incomplete",IF(OR(H108="Hypothesis",H108="Observed association",H108="Contradictory or unresolved",N108&lt;&gt;"Reviewed",K108="Evidence required"),"Review required","Ready for qualified review")))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75" t="str">
        <x:f>IF(A109="","",IF(OR(B109="",C109="",D109="",E109="",F109="",G109="",H109="",I109="",J109="",K109="",L109="",M109="",N109=""),"Incomplete",IF(OR(H109="Hypothesis",H109="Observed association",H109="Contradictory or unresolved",N109&lt;&gt;"Reviewed",K109="Evidence required"),"Review required","Ready for qualified review")))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75" t="str">
        <x:f>IF(A110="","",IF(OR(B110="",C110="",D110="",E110="",F110="",G110="",H110="",I110="",J110="",K110="",L110="",M110="",N110=""),"Incomplete",IF(OR(H110="Hypothesis",H110="Observed association",H110="Contradictory or unresolved",N110&lt;&gt;"Reviewed",K110="Evidence required"),"Review required","Ready for qualified review")))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75" t="str">
        <x:f>IF(A111="","",IF(OR(B111="",C111="",D111="",E111="",F111="",G111="",H111="",I111="",J111="",K111="",L111="",M111="",N111=""),"Incomplete",IF(OR(H111="Hypothesis",H111="Observed association",H111="Contradictory or unresolved",N111&lt;&gt;"Reviewed",K111="Evidence required"),"Review required","Ready for qualified review")))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75" t="str">
        <x:f>IF(A112="","",IF(OR(B112="",C112="",D112="",E112="",F112="",G112="",H112="",I112="",J112="",K112="",L112="",M112="",N112=""),"Incomplete",IF(OR(H112="Hypothesis",H112="Observed association",H112="Contradictory or unresolved",N112&lt;&gt;"Reviewed",K112="Evidence required"),"Review required","Ready for qualified review")))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75" t="str">
        <x:f>IF(A113="","",IF(OR(B113="",C113="",D113="",E113="",F113="",G113="",H113="",I113="",J113="",K113="",L113="",M113="",N113=""),"Incomplete",IF(OR(H113="Hypothesis",H113="Observed association",H113="Contradictory or unresolved",N113&lt;&gt;"Reviewed",K113="Evidence required"),"Review required","Ready for qualified review")))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75" t="str">
        <x:f>IF(A114="","",IF(OR(B114="",C114="",D114="",E114="",F114="",G114="",H114="",I114="",J114="",K114="",L114="",M114="",N114=""),"Incomplete",IF(OR(H114="Hypothesis",H114="Observed association",H114="Contradictory or unresolved",N114&lt;&gt;"Reviewed",K114="Evidence required"),"Review required","Ready for qualified review")))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75" t="str">
        <x:f>IF(A115="","",IF(OR(B115="",C115="",D115="",E115="",F115="",G115="",H115="",I115="",J115="",K115="",L115="",M115="",N115=""),"Incomplete",IF(OR(H115="Hypothesis",H115="Observed association",H115="Contradictory or unresolved",N115&lt;&gt;"Reviewed",K115="Evidence required"),"Review required","Ready for qualified review")))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75" t="str">
        <x:f>IF(A116="","",IF(OR(B116="",C116="",D116="",E116="",F116="",G116="",H116="",I116="",J116="",K116="",L116="",M116="",N116=""),"Incomplete",IF(OR(H116="Hypothesis",H116="Observed association",H116="Contradictory or unresolved",N116&lt;&gt;"Reviewed",K116="Evidence required"),"Review required","Ready for qualified review")))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75" t="str">
        <x:f>IF(A117="","",IF(OR(B117="",C117="",D117="",E117="",F117="",G117="",H117="",I117="",J117="",K117="",L117="",M117="",N117=""),"Incomplete",IF(OR(H117="Hypothesis",H117="Observed association",H117="Contradictory or unresolved",N117&lt;&gt;"Reviewed",K117="Evidence required"),"Review required","Ready for qualified review")))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75" t="str">
        <x:f>IF(A118="","",IF(OR(B118="",C118="",D118="",E118="",F118="",G118="",H118="",I118="",J118="",K118="",L118="",M118="",N118=""),"Incomplete",IF(OR(H118="Hypothesis",H118="Observed association",H118="Contradictory or unresolved",N118&lt;&gt;"Reviewed",K118="Evidence required"),"Review required","Ready for qualified review")))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75" t="str">
        <x:f>IF(A119="","",IF(OR(B119="",C119="",D119="",E119="",F119="",G119="",H119="",I119="",J119="",K119="",L119="",M119="",N119=""),"Incomplete",IF(OR(H119="Hypothesis",H119="Observed association",H119="Contradictory or unresolved",N119&lt;&gt;"Reviewed",K119="Evidence required"),"Review required","Ready for qualified review")))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75" t="str">
        <x:f>IF(A120="","",IF(OR(B120="",C120="",D120="",E120="",F120="",G120="",H120="",I120="",J120="",K120="",L120="",M120="",N120=""),"Incomplete",IF(OR(H120="Hypothesis",H120="Observed association",H120="Contradictory or unresolved",N120&lt;&gt;"Reviewed",K120="Evidence required"),"Review required","Ready for qualified review")))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75" t="str">
        <x:f>IF(A121="","",IF(OR(B121="",C121="",D121="",E121="",F121="",G121="",H121="",I121="",J121="",K121="",L121="",M121="",N121=""),"Incomplete",IF(OR(H121="Hypothesis",H121="Observed association",H121="Contradictory or unresolved",N121&lt;&gt;"Reviewed",K121="Evidence required"),"Review required","Ready for qualified review")))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75" t="str">
        <x:f>IF(A122="","",IF(OR(B122="",C122="",D122="",E122="",F122="",G122="",H122="",I122="",J122="",K122="",L122="",M122="",N122=""),"Incomplete",IF(OR(H122="Hypothesis",H122="Observed association",H122="Contradictory or unresolved",N122&lt;&gt;"Reviewed",K122="Evidence required"),"Review required","Ready for qualified review")))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75" t="str">
        <x:f>IF(A123="","",IF(OR(B123="",C123="",D123="",E123="",F123="",G123="",H123="",I123="",J123="",K123="",L123="",M123="",N123=""),"Incomplete",IF(OR(H123="Hypothesis",H123="Observed association",H123="Contradictory or unresolved",N123&lt;&gt;"Reviewed",K123="Evidence required"),"Review required","Ready for qualified review")))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75" t="str">
        <x:f>IF(A124="","",IF(OR(B124="",C124="",D124="",E124="",F124="",G124="",H124="",I124="",J124="",K124="",L124="",M124="",N124=""),"Incomplete",IF(OR(H124="Hypothesis",H124="Observed association",H124="Contradictory or unresolved",N124&lt;&gt;"Reviewed",K124="Evidence required"),"Review required","Ready for qualified review")))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75" t="str">
        <x:f>IF(A125="","",IF(OR(B125="",C125="",D125="",E125="",F125="",G125="",H125="",I125="",J125="",K125="",L125="",M125="",N125=""),"Incomplete",IF(OR(H125="Hypothesis",H125="Observed association",H125="Contradictory or unresolved",N125&lt;&gt;"Reviewed",K125="Evidence required"),"Review required","Ready for qualified review")))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75" t="str">
        <x:f>IF(A126="","",IF(OR(B126="",C126="",D126="",E126="",F126="",G126="",H126="",I126="",J126="",K126="",L126="",M126="",N126=""),"Incomplete",IF(OR(H126="Hypothesis",H126="Observed association",H126="Contradictory or unresolved",N126&lt;&gt;"Reviewed",K126="Evidence required"),"Review required","Ready for qualified review")))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75" t="str">
        <x:f>IF(A127="","",IF(OR(B127="",C127="",D127="",E127="",F127="",G127="",H127="",I127="",J127="",K127="",L127="",M127="",N127=""),"Incomplete",IF(OR(H127="Hypothesis",H127="Observed association",H127="Contradictory or unresolved",N127&lt;&gt;"Reviewed",K127="Evidence required"),"Review required","Ready for qualified review")))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75" t="str">
        <x:f>IF(A128="","",IF(OR(B128="",C128="",D128="",E128="",F128="",G128="",H128="",I128="",J128="",K128="",L128="",M128="",N128=""),"Incomplete",IF(OR(H128="Hypothesis",H128="Observed association",H128="Contradictory or unresolved",N128&lt;&gt;"Reviewed",K128="Evidence required"),"Review required","Ready for qualified review")))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75" t="str">
        <x:f>IF(A129="","",IF(OR(B129="",C129="",D129="",E129="",F129="",G129="",H129="",I129="",J129="",K129="",L129="",M129="",N129=""),"Incomplete",IF(OR(H129="Hypothesis",H129="Observed association",H129="Contradictory or unresolved",N129&lt;&gt;"Reviewed",K129="Evidence required"),"Review required","Ready for qualified review")))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75" t="str">
        <x:f>IF(A130="","",IF(OR(B130="",C130="",D130="",E130="",F130="",G130="",H130="",I130="",J130="",K130="",L130="",M130="",N130=""),"Incomplete",IF(OR(H130="Hypothesis",H130="Observed association",H130="Contradictory or unresolved",N130&lt;&gt;"Reviewed",K130="Evidence required"),"Review required","Ready for qualified review")))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75" t="str">
        <x:f>IF(A131="","",IF(OR(B131="",C131="",D131="",E131="",F131="",G131="",H131="",I131="",J131="",K131="",L131="",M131="",N131=""),"Incomplete",IF(OR(H131="Hypothesis",H131="Observed association",H131="Contradictory or unresolved",N131&lt;&gt;"Reviewed",K131="Evidence required"),"Review required","Ready for qualified review")))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75" t="str">
        <x:f>IF(A132="","",IF(OR(B132="",C132="",D132="",E132="",F132="",G132="",H132="",I132="",J132="",K132="",L132="",M132="",N132=""),"Incomplete",IF(OR(H132="Hypothesis",H132="Observed association",H132="Contradictory or unresolved",N132&lt;&gt;"Reviewed",K132="Evidence required"),"Review required","Ready for qualified review")))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75" t="str">
        <x:f>IF(A133="","",IF(OR(B133="",C133="",D133="",E133="",F133="",G133="",H133="",I133="",J133="",K133="",L133="",M133="",N133=""),"Incomplete",IF(OR(H133="Hypothesis",H133="Observed association",H133="Contradictory or unresolved",N133&lt;&gt;"Reviewed",K133="Evidence required"),"Review required","Ready for qualified review")))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75" t="str">
        <x:f>IF(A134="","",IF(OR(B134="",C134="",D134="",E134="",F134="",G134="",H134="",I134="",J134="",K134="",L134="",M134="",N134=""),"Incomplete",IF(OR(H134="Hypothesis",H134="Observed association",H134="Contradictory or unresolved",N134&lt;&gt;"Reviewed",K134="Evidence required"),"Review required","Ready for qualified review")))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75" t="str">
        <x:f>IF(A135="","",IF(OR(B135="",C135="",D135="",E135="",F135="",G135="",H135="",I135="",J135="",K135="",L135="",M135="",N135=""),"Incomplete",IF(OR(H135="Hypothesis",H135="Observed association",H135="Contradictory or unresolved",N135&lt;&gt;"Reviewed",K135="Evidence required"),"Review required","Ready for qualified review")))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75" t="str">
        <x:f>IF(A136="","",IF(OR(B136="",C136="",D136="",E136="",F136="",G136="",H136="",I136="",J136="",K136="",L136="",M136="",N136=""),"Incomplete",IF(OR(H136="Hypothesis",H136="Observed association",H136="Contradictory or unresolved",N136&lt;&gt;"Reviewed",K136="Evidence required"),"Review required","Ready for qualified review")))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75" t="str">
        <x:f>IF(A137="","",IF(OR(B137="",C137="",D137="",E137="",F137="",G137="",H137="",I137="",J137="",K137="",L137="",M137="",N137=""),"Incomplete",IF(OR(H137="Hypothesis",H137="Observed association",H137="Contradictory or unresolved",N137&lt;&gt;"Reviewed",K137="Evidence required"),"Review required","Ready for qualified review")))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75" t="str">
        <x:f>IF(A138="","",IF(OR(B138="",C138="",D138="",E138="",F138="",G138="",H138="",I138="",J138="",K138="",L138="",M138="",N138=""),"Incomplete",IF(OR(H138="Hypothesis",H138="Observed association",H138="Contradictory or unresolved",N138&lt;&gt;"Reviewed",K138="Evidence required"),"Review required","Ready for qualified review")))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75" t="str">
        <x:f>IF(A139="","",IF(OR(B139="",C139="",D139="",E139="",F139="",G139="",H139="",I139="",J139="",K139="",L139="",M139="",N139=""),"Incomplete",IF(OR(H139="Hypothesis",H139="Observed association",H139="Contradictory or unresolved",N139&lt;&gt;"Reviewed",K139="Evidence required"),"Review required","Ready for qualified review")))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75" t="str">
        <x:f>IF(A140="","",IF(OR(B140="",C140="",D140="",E140="",F140="",G140="",H140="",I140="",J140="",K140="",L140="",M140="",N140=""),"Incomplete",IF(OR(H140="Hypothesis",H140="Observed association",H140="Contradictory or unresolved",N140&lt;&gt;"Reviewed",K140="Evidence required"),"Review required","Ready for qualified review")))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75" t="str">
        <x:f>IF(A141="","",IF(OR(B141="",C141="",D141="",E141="",F141="",G141="",H141="",I141="",J141="",K141="",L141="",M141="",N141=""),"Incomplete",IF(OR(H141="Hypothesis",H141="Observed association",H141="Contradictory or unresolved",N141&lt;&gt;"Reviewed",K141="Evidence required"),"Review required","Ready for qualified review")))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75" t="str">
        <x:f>IF(A142="","",IF(OR(B142="",C142="",D142="",E142="",F142="",G142="",H142="",I142="",J142="",K142="",L142="",M142="",N142=""),"Incomplete",IF(OR(H142="Hypothesis",H142="Observed association",H142="Contradictory or unresolved",N142&lt;&gt;"Reviewed",K142="Evidence required"),"Review required","Ready for qualified review")))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75" t="str">
        <x:f>IF(A143="","",IF(OR(B143="",C143="",D143="",E143="",F143="",G143="",H143="",I143="",J143="",K143="",L143="",M143="",N143=""),"Incomplete",IF(OR(H143="Hypothesis",H143="Observed association",H143="Contradictory or unresolved",N143&lt;&gt;"Reviewed",K143="Evidence required"),"Review required","Ready for qualified review")))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75" t="str">
        <x:f>IF(A144="","",IF(OR(B144="",C144="",D144="",E144="",F144="",G144="",H144="",I144="",J144="",K144="",L144="",M144="",N144=""),"Incomplete",IF(OR(H144="Hypothesis",H144="Observed association",H144="Contradictory or unresolved",N144&lt;&gt;"Reviewed",K144="Evidence required"),"Review required","Ready for qualified review")))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75" t="str">
        <x:f>IF(A145="","",IF(OR(B145="",C145="",D145="",E145="",F145="",G145="",H145="",I145="",J145="",K145="",L145="",M145="",N145=""),"Incomplete",IF(OR(H145="Hypothesis",H145="Observed association",H145="Contradictory or unresolved",N145&lt;&gt;"Reviewed",K145="Evidence required"),"Review required","Ready for qualified review")))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75" t="str">
        <x:f>IF(A146="","",IF(OR(B146="",C146="",D146="",E146="",F146="",G146="",H146="",I146="",J146="",K146="",L146="",M146="",N146=""),"Incomplete",IF(OR(H146="Hypothesis",H146="Observed association",H146="Contradictory or unresolved",N146&lt;&gt;"Reviewed",K146="Evidence required"),"Review required","Ready for qualified review")))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75" t="str">
        <x:f>IF(A147="","",IF(OR(B147="",C147="",D147="",E147="",F147="",G147="",H147="",I147="",J147="",K147="",L147="",M147="",N147=""),"Incomplete",IF(OR(H147="Hypothesis",H147="Observed association",H147="Contradictory or unresolved",N147&lt;&gt;"Reviewed",K147="Evidence required"),"Review required","Ready for qualified review")))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75" t="str">
        <x:f>IF(A148="","",IF(OR(B148="",C148="",D148="",E148="",F148="",G148="",H148="",I148="",J148="",K148="",L148="",M148="",N148=""),"Incomplete",IF(OR(H148="Hypothesis",H148="Observed association",H148="Contradictory or unresolved",N148&lt;&gt;"Reviewed",K148="Evidence required"),"Review required","Ready for qualified review")))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75" t="str">
        <x:f>IF(A149="","",IF(OR(B149="",C149="",D149="",E149="",F149="",G149="",H149="",I149="",J149="",K149="",L149="",M149="",N149=""),"Incomplete",IF(OR(H149="Hypothesis",H149="Observed association",H149="Contradictory or unresolved",N149&lt;&gt;"Reviewed",K149="Evidence required"),"Review required","Ready for qualified review")))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75" t="str">
        <x:f>IF(A150="","",IF(OR(B150="",C150="",D150="",E150="",F150="",G150="",H150="",I150="",J150="",K150="",L150="",M150="",N150=""),"Incomplete",IF(OR(H150="Hypothesis",H150="Observed association",H150="Contradictory or unresolved",N150&lt;&gt;"Reviewed",K150="Evidence required"),"Review required","Ready for qualified review")))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75" t="str">
        <x:f>IF(A151="","",IF(OR(B151="",C151="",D151="",E151="",F151="",G151="",H151="",I151="",J151="",K151="",L151="",M151="",N151=""),"Incomplete",IF(OR(H151="Hypothesis",H151="Observed association",H151="Contradictory or unresolved",N151&lt;&gt;"Reviewed",K151="Evidence required"),"Review required","Ready for qualified review")))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75" t="str">
        <x:f>IF(A152="","",IF(OR(B152="",C152="",D152="",E152="",F152="",G152="",H152="",I152="",J152="",K152="",L152="",M152="",N152=""),"Incomplete",IF(OR(H152="Hypothesis",H152="Observed association",H152="Contradictory or unresolved",N152&lt;&gt;"Reviewed",K152="Evidence required"),"Review required","Ready for qualified review")))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75" t="str">
        <x:f>IF(A153="","",IF(OR(B153="",C153="",D153="",E153="",F153="",G153="",H153="",I153="",J153="",K153="",L153="",M153="",N153=""),"Incomplete",IF(OR(H153="Hypothesis",H153="Observed association",H153="Contradictory or unresolved",N153&lt;&gt;"Reviewed",K153="Evidence required"),"Review required","Ready for qualified review")))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75" t="str">
        <x:f>IF(A154="","",IF(OR(B154="",C154="",D154="",E154="",F154="",G154="",H154="",I154="",J154="",K154="",L154="",M154="",N154=""),"Incomplete",IF(OR(H154="Hypothesis",H154="Observed association",H154="Contradictory or unresolved",N154&lt;&gt;"Reviewed",K154="Evidence required"),"Review required","Ready for qualified review")))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75" t="str">
        <x:f>IF(A155="","",IF(OR(B155="",C155="",D155="",E155="",F155="",G155="",H155="",I155="",J155="",K155="",L155="",M155="",N155=""),"Incomplete",IF(OR(H155="Hypothesis",H155="Observed association",H155="Contradictory or unresolved",N155&lt;&gt;"Reviewed",K155="Evidence required"),"Review required","Ready for qualified review")))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75" t="str">
        <x:f>IF(A156="","",IF(OR(B156="",C156="",D156="",E156="",F156="",G156="",H156="",I156="",J156="",K156="",L156="",M156="",N156=""),"Incomplete",IF(OR(H156="Hypothesis",H156="Observed association",H156="Contradictory or unresolved",N156&lt;&gt;"Reviewed",K156="Evidence required"),"Review required","Ready for qualified review")))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75" t="str">
        <x:f>IF(A157="","",IF(OR(B157="",C157="",D157="",E157="",F157="",G157="",H157="",I157="",J157="",K157="",L157="",M157="",N157=""),"Incomplete",IF(OR(H157="Hypothesis",H157="Observed association",H157="Contradictory or unresolved",N157&lt;&gt;"Reviewed",K157="Evidence required"),"Review required","Ready for qualified review")))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75" t="str">
        <x:f>IF(A158="","",IF(OR(B158="",C158="",D158="",E158="",F158="",G158="",H158="",I158="",J158="",K158="",L158="",M158="",N158=""),"Incomplete",IF(OR(H158="Hypothesis",H158="Observed association",H158="Contradictory or unresolved",N158&lt;&gt;"Reviewed",K158="Evidence required"),"Review required","Ready for qualified review")))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75" t="str">
        <x:f>IF(A159="","",IF(OR(B159="",C159="",D159="",E159="",F159="",G159="",H159="",I159="",J159="",K159="",L159="",M159="",N159=""),"Incomplete",IF(OR(H159="Hypothesis",H159="Observed association",H159="Contradictory or unresolved",N159&lt;&gt;"Reviewed",K159="Evidence required"),"Review required","Ready for qualified review")))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75" t="str">
        <x:f>IF(A160="","",IF(OR(B160="",C160="",D160="",E160="",F160="",G160="",H160="",I160="",J160="",K160="",L160="",M160="",N160=""),"Incomplete",IF(OR(H160="Hypothesis",H160="Observed association",H160="Contradictory or unresolved",N160&lt;&gt;"Reviewed",K160="Evidence required"),"Review required","Ready for qualified review")))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75" t="str">
        <x:f>IF(A161="","",IF(OR(B161="",C161="",D161="",E161="",F161="",G161="",H161="",I161="",J161="",K161="",L161="",M161="",N161=""),"Incomplete",IF(OR(H161="Hypothesis",H161="Observed association",H161="Contradictory or unresolved",N161&lt;&gt;"Reviewed",K161="Evidence required"),"Review required","Ready for qualified review")))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75" t="str">
        <x:f>IF(A162="","",IF(OR(B162="",C162="",D162="",E162="",F162="",G162="",H162="",I162="",J162="",K162="",L162="",M162="",N162=""),"Incomplete",IF(OR(H162="Hypothesis",H162="Observed association",H162="Contradictory or unresolved",N162&lt;&gt;"Reviewed",K162="Evidence required"),"Review required","Ready for qualified review")))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75" t="str">
        <x:f>IF(A163="","",IF(OR(B163="",C163="",D163="",E163="",F163="",G163="",H163="",I163="",J163="",K163="",L163="",M163="",N163=""),"Incomplete",IF(OR(H163="Hypothesis",H163="Observed association",H163="Contradictory or unresolved",N163&lt;&gt;"Reviewed",K163="Evidence required"),"Review required","Ready for qualified review")))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75" t="str">
        <x:f>IF(A164="","",IF(OR(B164="",C164="",D164="",E164="",F164="",G164="",H164="",I164="",J164="",K164="",L164="",M164="",N164=""),"Incomplete",IF(OR(H164="Hypothesis",H164="Observed association",H164="Contradictory or unresolved",N164&lt;&gt;"Reviewed",K164="Evidence required"),"Review required","Ready for qualified review")))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75" t="str">
        <x:f>IF(A165="","",IF(OR(B165="",C165="",D165="",E165="",F165="",G165="",H165="",I165="",J165="",K165="",L165="",M165="",N165=""),"Incomplete",IF(OR(H165="Hypothesis",H165="Observed association",H165="Contradictory or unresolved",N165&lt;&gt;"Reviewed",K165="Evidence required"),"Review required","Ready for qualified review")))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75" t="str">
        <x:f>IF(A166="","",IF(OR(B166="",C166="",D166="",E166="",F166="",G166="",H166="",I166="",J166="",K166="",L166="",M166="",N166=""),"Incomplete",IF(OR(H166="Hypothesis",H166="Observed association",H166="Contradictory or unresolved",N166&lt;&gt;"Reviewed",K166="Evidence required"),"Review required","Ready for qualified review")))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75" t="str">
        <x:f>IF(A167="","",IF(OR(B167="",C167="",D167="",E167="",F167="",G167="",H167="",I167="",J167="",K167="",L167="",M167="",N167=""),"Incomplete",IF(OR(H167="Hypothesis",H167="Observed association",H167="Contradictory or unresolved",N167&lt;&gt;"Reviewed",K167="Evidence required"),"Review required","Ready for qualified review")))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75" t="str">
        <x:f>IF(A168="","",IF(OR(B168="",C168="",D168="",E168="",F168="",G168="",H168="",I168="",J168="",K168="",L168="",M168="",N168=""),"Incomplete",IF(OR(H168="Hypothesis",H168="Observed association",H168="Contradictory or unresolved",N168&lt;&gt;"Reviewed",K168="Evidence required"),"Review required","Ready for qualified review")))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75" t="str">
        <x:f>IF(A169="","",IF(OR(B169="",C169="",D169="",E169="",F169="",G169="",H169="",I169="",J169="",K169="",L169="",M169="",N169=""),"Incomplete",IF(OR(H169="Hypothesis",H169="Observed association",H169="Contradictory or unresolved",N169&lt;&gt;"Reviewed",K169="Evidence required"),"Review required","Ready for qualified review")))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75" t="str">
        <x:f>IF(A170="","",IF(OR(B170="",C170="",D170="",E170="",F170="",G170="",H170="",I170="",J170="",K170="",L170="",M170="",N170=""),"Incomplete",IF(OR(H170="Hypothesis",H170="Observed association",H170="Contradictory or unresolved",N170&lt;&gt;"Reviewed",K170="Evidence required"),"Review required","Ready for qualified review")))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75" t="str">
        <x:f>IF(A171="","",IF(OR(B171="",C171="",D171="",E171="",F171="",G171="",H171="",I171="",J171="",K171="",L171="",M171="",N171=""),"Incomplete",IF(OR(H171="Hypothesis",H171="Observed association",H171="Contradictory or unresolved",N171&lt;&gt;"Reviewed",K171="Evidence required"),"Review required","Ready for qualified review")))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75" t="str">
        <x:f>IF(A172="","",IF(OR(B172="",C172="",D172="",E172="",F172="",G172="",H172="",I172="",J172="",K172="",L172="",M172="",N172=""),"Incomplete",IF(OR(H172="Hypothesis",H172="Observed association",H172="Contradictory or unresolved",N172&lt;&gt;"Reviewed",K172="Evidence required"),"Review required","Ready for qualified review")))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75" t="str">
        <x:f>IF(A173="","",IF(OR(B173="",C173="",D173="",E173="",F173="",G173="",H173="",I173="",J173="",K173="",L173="",M173="",N173=""),"Incomplete",IF(OR(H173="Hypothesis",H173="Observed association",H173="Contradictory or unresolved",N173&lt;&gt;"Reviewed",K173="Evidence required"),"Review required","Ready for qualified review")))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75" t="str">
        <x:f>IF(A174="","",IF(OR(B174="",C174="",D174="",E174="",F174="",G174="",H174="",I174="",J174="",K174="",L174="",M174="",N174=""),"Incomplete",IF(OR(H174="Hypothesis",H174="Observed association",H174="Contradictory or unresolved",N174&lt;&gt;"Reviewed",K174="Evidence required"),"Review required","Ready for qualified review")))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75" t="str">
        <x:f>IF(A175="","",IF(OR(B175="",C175="",D175="",E175="",F175="",G175="",H175="",I175="",J175="",K175="",L175="",M175="",N175=""),"Incomplete",IF(OR(H175="Hypothesis",H175="Observed association",H175="Contradictory or unresolved",N175&lt;&gt;"Reviewed",K175="Evidence required"),"Review required","Ready for qualified review")))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75" t="str">
        <x:f>IF(A176="","",IF(OR(B176="",C176="",D176="",E176="",F176="",G176="",H176="",I176="",J176="",K176="",L176="",M176="",N176=""),"Incomplete",IF(OR(H176="Hypothesis",H176="Observed association",H176="Contradictory or unresolved",N176&lt;&gt;"Reviewed",K176="Evidence required"),"Review required","Ready for qualified review")))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75" t="str">
        <x:f>IF(A177="","",IF(OR(B177="",C177="",D177="",E177="",F177="",G177="",H177="",I177="",J177="",K177="",L177="",M177="",N177=""),"Incomplete",IF(OR(H177="Hypothesis",H177="Observed association",H177="Contradictory or unresolved",N177&lt;&gt;"Reviewed",K177="Evidence required"),"Review required","Ready for qualified review")))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75" t="str">
        <x:f>IF(A178="","",IF(OR(B178="",C178="",D178="",E178="",F178="",G178="",H178="",I178="",J178="",K178="",L178="",M178="",N178=""),"Incomplete",IF(OR(H178="Hypothesis",H178="Observed association",H178="Contradictory or unresolved",N178&lt;&gt;"Reviewed",K178="Evidence required"),"Review required","Ready for qualified review")))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75" t="str">
        <x:f>IF(A179="","",IF(OR(B179="",C179="",D179="",E179="",F179="",G179="",H179="",I179="",J179="",K179="",L179="",M179="",N179=""),"Incomplete",IF(OR(H179="Hypothesis",H179="Observed association",H179="Contradictory or unresolved",N179&lt;&gt;"Reviewed",K179="Evidence required"),"Review required","Ready for qualified review")))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75" t="str">
        <x:f>IF(A180="","",IF(OR(B180="",C180="",D180="",E180="",F180="",G180="",H180="",I180="",J180="",K180="",L180="",M180="",N180=""),"Incomplete",IF(OR(H180="Hypothesis",H180="Observed association",H180="Contradictory or unresolved",N180&lt;&gt;"Reviewed",K180="Evidence required"),"Review required","Ready for qualified review")))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75" t="str">
        <x:f>IF(A181="","",IF(OR(B181="",C181="",D181="",E181="",F181="",G181="",H181="",I181="",J181="",K181="",L181="",M181="",N181=""),"Incomplete",IF(OR(H181="Hypothesis",H181="Observed association",H181="Contradictory or unresolved",N181&lt;&gt;"Reviewed",K181="Evidence required"),"Review required","Ready for qualified review")))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75" t="str">
        <x:f>IF(A182="","",IF(OR(B182="",C182="",D182="",E182="",F182="",G182="",H182="",I182="",J182="",K182="",L182="",M182="",N182=""),"Incomplete",IF(OR(H182="Hypothesis",H182="Observed association",H182="Contradictory or unresolved",N182&lt;&gt;"Reviewed",K182="Evidence required"),"Review required","Ready for qualified review")))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75" t="str">
        <x:f>IF(A183="","",IF(OR(B183="",C183="",D183="",E183="",F183="",G183="",H183="",I183="",J183="",K183="",L183="",M183="",N183=""),"Incomplete",IF(OR(H183="Hypothesis",H183="Observed association",H183="Contradictory or unresolved",N183&lt;&gt;"Reviewed",K183="Evidence required"),"Review required","Ready for qualified review")))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75" t="str">
        <x:f>IF(A184="","",IF(OR(B184="",C184="",D184="",E184="",F184="",G184="",H184="",I184="",J184="",K184="",L184="",M184="",N184=""),"Incomplete",IF(OR(H184="Hypothesis",H184="Observed association",H184="Contradictory or unresolved",N184&lt;&gt;"Reviewed",K184="Evidence required"),"Review required","Ready for qualified review")))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75" t="str">
        <x:f>IF(A185="","",IF(OR(B185="",C185="",D185="",E185="",F185="",G185="",H185="",I185="",J185="",K185="",L185="",M185="",N185=""),"Incomplete",IF(OR(H185="Hypothesis",H185="Observed association",H185="Contradictory or unresolved",N185&lt;&gt;"Reviewed",K185="Evidence required"),"Review required","Ready for qualified review")))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75" t="str">
        <x:f>IF(A186="","",IF(OR(B186="",C186="",D186="",E186="",F186="",G186="",H186="",I186="",J186="",K186="",L186="",M186="",N186=""),"Incomplete",IF(OR(H186="Hypothesis",H186="Observed association",H186="Contradictory or unresolved",N186&lt;&gt;"Reviewed",K186="Evidence required"),"Review required","Ready for qualified review")))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75" t="str">
        <x:f>IF(A187="","",IF(OR(B187="",C187="",D187="",E187="",F187="",G187="",H187="",I187="",J187="",K187="",L187="",M187="",N187=""),"Incomplete",IF(OR(H187="Hypothesis",H187="Observed association",H187="Contradictory or unresolved",N187&lt;&gt;"Reviewed",K187="Evidence required"),"Review required","Ready for qualified review")))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75" t="str">
        <x:f>IF(A188="","",IF(OR(B188="",C188="",D188="",E188="",F188="",G188="",H188="",I188="",J188="",K188="",L188="",M188="",N188=""),"Incomplete",IF(OR(H188="Hypothesis",H188="Observed association",H188="Contradictory or unresolved",N188&lt;&gt;"Reviewed",K188="Evidence required"),"Review required","Ready for qualified review")))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75" t="str">
        <x:f>IF(A189="","",IF(OR(B189="",C189="",D189="",E189="",F189="",G189="",H189="",I189="",J189="",K189="",L189="",M189="",N189=""),"Incomplete",IF(OR(H189="Hypothesis",H189="Observed association",H189="Contradictory or unresolved",N189&lt;&gt;"Reviewed",K189="Evidence required"),"Review required","Ready for qualified review")))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75" t="str">
        <x:f>IF(A190="","",IF(OR(B190="",C190="",D190="",E190="",F190="",G190="",H190="",I190="",J190="",K190="",L190="",M190="",N190=""),"Incomplete",IF(OR(H190="Hypothesis",H190="Observed association",H190="Contradictory or unresolved",N190&lt;&gt;"Reviewed",K190="Evidence required"),"Review required","Ready for qualified review")))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75" t="str">
        <x:f>IF(A191="","",IF(OR(B191="",C191="",D191="",E191="",F191="",G191="",H191="",I191="",J191="",K191="",L191="",M191="",N191=""),"Incomplete",IF(OR(H191="Hypothesis",H191="Observed association",H191="Contradictory or unresolved",N191&lt;&gt;"Reviewed",K191="Evidence required"),"Review required","Ready for qualified review")))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75" t="str">
        <x:f>IF(A192="","",IF(OR(B192="",C192="",D192="",E192="",F192="",G192="",H192="",I192="",J192="",K192="",L192="",M192="",N192=""),"Incomplete",IF(OR(H192="Hypothesis",H192="Observed association",H192="Contradictory or unresolved",N192&lt;&gt;"Reviewed",K192="Evidence required"),"Review required","Ready for qualified review")))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75" t="str">
        <x:f>IF(A193="","",IF(OR(B193="",C193="",D193="",E193="",F193="",G193="",H193="",I193="",J193="",K193="",L193="",M193="",N193=""),"Incomplete",IF(OR(H193="Hypothesis",H193="Observed association",H193="Contradictory or unresolved",N193&lt;&gt;"Reviewed",K193="Evidence required"),"Review required","Ready for qualified review")))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75" t="str">
        <x:f>IF(A194="","",IF(OR(B194="",C194="",D194="",E194="",F194="",G194="",H194="",I194="",J194="",K194="",L194="",M194="",N194=""),"Incomplete",IF(OR(H194="Hypothesis",H194="Observed association",H194="Contradictory or unresolved",N194&lt;&gt;"Reviewed",K194="Evidence required"),"Review required","Ready for qualified review")))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75" t="str">
        <x:f>IF(A195="","",IF(OR(B195="",C195="",D195="",E195="",F195="",G195="",H195="",I195="",J195="",K195="",L195="",M195="",N195=""),"Incomplete",IF(OR(H195="Hypothesis",H195="Observed association",H195="Contradictory or unresolved",N195&lt;&gt;"Reviewed",K195="Evidence required"),"Review required","Ready for qualified review")))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75" t="str">
        <x:f>IF(A196="","",IF(OR(B196="",C196="",D196="",E196="",F196="",G196="",H196="",I196="",J196="",K196="",L196="",M196="",N196=""),"Incomplete",IF(OR(H196="Hypothesis",H196="Observed association",H196="Contradictory or unresolved",N196&lt;&gt;"Reviewed",K196="Evidence required"),"Review required","Ready for qualified review")))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75" t="str">
        <x:f>IF(A197="","",IF(OR(B197="",C197="",D197="",E197="",F197="",G197="",H197="",I197="",J197="",K197="",L197="",M197="",N197=""),"Incomplete",IF(OR(H197="Hypothesis",H197="Observed association",H197="Contradictory or unresolved",N197&lt;&gt;"Reviewed",K197="Evidence required"),"Review required","Ready for qualified review")))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75" t="str">
        <x:f>IF(A198="","",IF(OR(B198="",C198="",D198="",E198="",F198="",G198="",H198="",I198="",J198="",K198="",L198="",M198="",N198=""),"Incomplete",IF(OR(H198="Hypothesis",H198="Observed association",H198="Contradictory or unresolved",N198&lt;&gt;"Reviewed",K198="Evidence required"),"Review required","Ready for qualified review")))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75" t="str">
        <x:f>IF(A199="","",IF(OR(B199="",C199="",D199="",E199="",F199="",G199="",H199="",I199="",J199="",K199="",L199="",M199="",N199=""),"Incomplete",IF(OR(H199="Hypothesis",H199="Observed association",H199="Contradictory or unresolved",N199&lt;&gt;"Reviewed",K199="Evidence required"),"Review required","Ready for qualified review")))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75" t="str">
        <x:f>IF(A200="","",IF(OR(B200="",C200="",D200="",E200="",F200="",G200="",H200="",I200="",J200="",K200="",L200="",M200="",N200=""),"Incomplete",IF(OR(H200="Hypothesis",H200="Observed association",H200="Contradictory or unresolved",N200&lt;&gt;"Reviewed",K200="Evidence required"),"Review required","Ready for qualified review")))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75" t="str">
        <x:f>IF(A201="","",IF(OR(B201="",C201="",D201="",E201="",F201="",G201="",H201="",I201="",J201="",K201="",L201="",M201="",N201=""),"Incomplete",IF(OR(H201="Hypothesis",H201="Observed association",H201="Contradictory or unresolved",N201&lt;&gt;"Reviewed",K201="Evidence required"),"Review required","Ready for qualified review")))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75" t="str">
        <x:f>IF(A202="","",IF(OR(B202="",C202="",D202="",E202="",F202="",G202="",H202="",I202="",J202="",K202="",L202="",M202="",N202=""),"Incomplete",IF(OR(H202="Hypothesis",H202="Observed association",H202="Contradictory or unresolved",N202&lt;&gt;"Reviewed",K202="Evidence required"),"Review required","Ready for qualified review")))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75" t="str">
        <x:f>IF(A203="","",IF(OR(B203="",C203="",D203="",E203="",F203="",G203="",H203="",I203="",J203="",K203="",L203="",M203="",N203=""),"Incomplete",IF(OR(H203="Hypothesis",H203="Observed association",H203="Contradictory or unresolved",N203&lt;&gt;"Reviewed",K203="Evidence required"),"Review required","Ready for qualified review")))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75" t="str">
        <x:f>IF(A204="","",IF(OR(B204="",C204="",D204="",E204="",F204="",G204="",H204="",I204="",J204="",K204="",L204="",M204="",N204=""),"Incomplete",IF(OR(H204="Hypothesis",H204="Observed association",H204="Contradictory or unresolved",N204&lt;&gt;"Reviewed",K204="Evidence required"),"Review required","Ready for qualified review")))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6" t="str">
        <x:f>IF(A205="","",IF(OR(B205="",C205="",D205="",E205="",F205="",G205="",H205="",I205="",J205="",K205="",L205="",M205="",N205=""),"Incomplete",IF(OR(H205="Hypothesis",H205="Observed association",H205="Contradictory or unresolved",N205&lt;&gt;"Reviewed",K205="Evidence required"),"Review required","Ready for qualified review")))</x:f>
      </x:c>
    </x:row>
  </x:sheetData>
  <x:mergeCells>
    <x:mergeCell ref="A1:O1"/>
    <x:mergeCell ref="A2:O2"/>
  </x:mergeCells>
  <x:conditionalFormatting sqref="O6:O2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205">
      <x:formula1>"Material attribute,Process parameter,Performance indicator,Process output"</x:formula1>
    </x:dataValidation>
    <x:dataValidation type="list" sqref="H6:H205">
      <x:formula1>"Hypothesis,Observed association,Designed-study support,Multi-source support,Contradictory or unresolved"</x:formula1>
    </x:dataValidation>
    <x:dataValidation type="list" sqref="N6:N2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2" hidden="0" customWidth="1"/>
    <x:col min="4" max="4" width="18" hidden="0" customWidth="1"/>
    <x:col min="5" max="5" width="36" hidden="0" customWidth="1"/>
    <x:col min="6" max="6" width="30" hidden="0" customWidth="1"/>
    <x:col min="7" max="7" width="32" hidden="0" customWidth="1"/>
    <x:col min="8" max="8" width="34" hidden="0" customWidth="1"/>
    <x:col min="9" max="9" width="23" hidden="0" customWidth="1"/>
    <x:col min="10" max="10" width="24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scope, evidence strength, contradictory findings, limitations,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Evidence ID</x:v>
      </x:c>
      <x:c r="B5" s="56" t="str">
        <x:v>Evidence type</x:v>
      </x:c>
      <x:c r="C5" s="56" t="str">
        <x:v>Title / controlled record</x:v>
      </x:c>
      <x:c r="D5" s="56" t="str">
        <x:v>Version / date</x:v>
      </x:c>
      <x:c r="E5" s="56" t="str">
        <x:v>Locator / record reference</x:v>
      </x:c>
      <x:c r="F5" s="56" t="str">
        <x:v>Scope</x:v>
      </x:c>
      <x:c r="G5" s="56" t="str">
        <x:v>Supports</x:v>
      </x:c>
      <x:c r="H5" s="56" t="str">
        <x:v>Contradicts / limitations</x:v>
      </x:c>
      <x:c r="I5" s="56" t="str">
        <x:v>Evidence strength</x:v>
      </x:c>
      <x:c r="J5" s="56" t="str">
        <x:v>Reviewer role</x:v>
      </x:c>
      <x:c r="K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74" t="str">
        <x:f>IF(A6="","",IF(OR(B6="",C6="",D6="",E6="",F6="",G6="",H6="",I6="",J6=""),"Incomplete",IF(OR(I6="Hypothesis",I6="Observed association",I6="Contradictory or unresolved"),"Review required","Ready for qualified review")))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75" t="str">
        <x:f>IF(A7="","",IF(OR(B7="",C7="",D7="",E7="",F7="",G7="",H7="",I7="",J7=""),"Incomplete",IF(OR(I7="Hypothesis",I7="Observed association",I7="Contradictory or unresolved"),"Review required","Ready for qualified review")))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75" t="str">
        <x:f>IF(A8="","",IF(OR(B8="",C8="",D8="",E8="",F8="",G8="",H8="",I8="",J8=""),"Incomplete",IF(OR(I8="Hypothesis",I8="Observed association",I8="Contradictory or unresolved"),"Review required","Ready for qualified review")))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75" t="str">
        <x:f>IF(A9="","",IF(OR(B9="",C9="",D9="",E9="",F9="",G9="",H9="",I9="",J9=""),"Incomplete",IF(OR(I9="Hypothesis",I9="Observed association",I9="Contradictory or unresolved"),"Review required","Ready for qualified review")))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75" t="str">
        <x:f>IF(A10="","",IF(OR(B10="",C10="",D10="",E10="",F10="",G10="",H10="",I10="",J10=""),"Incomplete",IF(OR(I10="Hypothesis",I10="Observed association",I10="Contradictory or unresolved"),"Review required","Ready for qualified review")))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75" t="str">
        <x:f>IF(A11="","",IF(OR(B11="",C11="",D11="",E11="",F11="",G11="",H11="",I11="",J11=""),"Incomplete",IF(OR(I11="Hypothesis",I11="Observed association",I11="Contradictory or unresolved"),"Review required","Ready for qualified review")))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75" t="str">
        <x:f>IF(A12="","",IF(OR(B12="",C12="",D12="",E12="",F12="",G12="",H12="",I12="",J12=""),"Incomplete",IF(OR(I12="Hypothesis",I12="Observed association",I12="Contradictory or unresolved"),"Review required","Ready for qualified review")))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75" t="str">
        <x:f>IF(A13="","",IF(OR(B13="",C13="",D13="",E13="",F13="",G13="",H13="",I13="",J13=""),"Incomplete",IF(OR(I13="Hypothesis",I13="Observed association",I13="Contradictory or unresolved"),"Review required","Ready for qualified review")))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75" t="str">
        <x:f>IF(A14="","",IF(OR(B14="",C14="",D14="",E14="",F14="",G14="",H14="",I14="",J14=""),"Incomplete",IF(OR(I14="Hypothesis",I14="Observed association",I14="Contradictory or unresolved"),"Review required","Ready for qualified review")))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IF(A15="","",IF(OR(B15="",C15="",D15="",E15="",F15="",G15="",H15="",I15="",J15=""),"Incomplete",IF(OR(I15="Hypothesis",I15="Observed association",I15="Contradictory or unresolved"),"Review required","Ready for qualified review")))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IF(A16="","",IF(OR(B16="",C16="",D16="",E16="",F16="",G16="",H16="",I16="",J16=""),"Incomplete",IF(OR(I16="Hypothesis",I16="Observed association",I16="Contradictory or unresolved"),"Review required","Ready for qualified review")))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IF(A17="","",IF(OR(B17="",C17="",D17="",E17="",F17="",G17="",H17="",I17="",J17=""),"Incomplete",IF(OR(I17="Hypothesis",I17="Observed association",I17="Contradictory or unresolved"),"Review required","Ready for qualified review")))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IF(A18="","",IF(OR(B18="",C18="",D18="",E18="",F18="",G18="",H18="",I18="",J18=""),"Incomplete",IF(OR(I18="Hypothesis",I18="Observed association",I18="Contradictory or unresolved"),"Review required","Ready for qualified review")))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IF(A19="","",IF(OR(B19="",C19="",D19="",E19="",F19="",G19="",H19="",I19="",J19=""),"Incomplete",IF(OR(I19="Hypothesis",I19="Observed association",I19="Contradictory or unresolved"),"Review required","Ready for qualified review")))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IF(A20="","",IF(OR(B20="",C20="",D20="",E20="",F20="",G20="",H20="",I20="",J20=""),"Incomplete",IF(OR(I20="Hypothesis",I20="Observed association",I20="Contradictory or unresolved"),"Review required","Ready for qualified review")))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IF(A21="","",IF(OR(B21="",C21="",D21="",E21="",F21="",G21="",H21="",I21="",J21=""),"Incomplete",IF(OR(I21="Hypothesis",I21="Observed association",I21="Contradictory or unresolved"),"Review required","Ready for qualified review")))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IF(A22="","",IF(OR(B22="",C22="",D22="",E22="",F22="",G22="",H22="",I22="",J22=""),"Incomplete",IF(OR(I22="Hypothesis",I22="Observed association",I22="Contradictory or unresolved"),"Review required","Ready for qualified review")))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IF(A23="","",IF(OR(B23="",C23="",D23="",E23="",F23="",G23="",H23="",I23="",J23=""),"Incomplete",IF(OR(I23="Hypothesis",I23="Observed association",I23="Contradictory or unresolved"),"Review required","Ready for qualified review")))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IF(A24="","",IF(OR(B24="",C24="",D24="",E24="",F24="",G24="",H24="",I24="",J24=""),"Incomplete",IF(OR(I24="Hypothesis",I24="Observed association",I24="Contradictory or unresolved"),"Review required","Ready for qualified review")))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IF(A25="","",IF(OR(B25="",C25="",D25="",E25="",F25="",G25="",H25="",I25="",J25=""),"Incomplete",IF(OR(I25="Hypothesis",I25="Observed association",I25="Contradictory or unresolved"),"Review required","Ready for qualified review")))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IF(A26="","",IF(OR(B26="",C26="",D26="",E26="",F26="",G26="",H26="",I26="",J26=""),"Incomplete",IF(OR(I26="Hypothesis",I26="Observed association",I26="Contradictory or unresolved"),"Review required","Ready for qualified review")))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IF(A27="","",IF(OR(B27="",C27="",D27="",E27="",F27="",G27="",H27="",I27="",J27=""),"Incomplete",IF(OR(I27="Hypothesis",I27="Observed association",I27="Contradictory or unresolved"),"Review required","Ready for qualified review")))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IF(A28="","",IF(OR(B28="",C28="",D28="",E28="",F28="",G28="",H28="",I28="",J28=""),"Incomplete",IF(OR(I28="Hypothesis",I28="Observed association",I28="Contradictory or unresolved"),"Review required","Ready for qualified review")))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IF(A29="","",IF(OR(B29="",C29="",D29="",E29="",F29="",G29="",H29="",I29="",J29=""),"Incomplete",IF(OR(I29="Hypothesis",I29="Observed association",I29="Contradictory or unresolved"),"Review required","Ready for qualified review")))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IF(A30="","",IF(OR(B30="",C30="",D30="",E30="",F30="",G30="",H30="",I30="",J30=""),"Incomplete",IF(OR(I30="Hypothesis",I30="Observed association",I30="Contradictory or unresolved"),"Review required","Ready for qualified review")))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IF(A31="","",IF(OR(B31="",C31="",D31="",E31="",F31="",G31="",H31="",I31="",J31=""),"Incomplete",IF(OR(I31="Hypothesis",I31="Observed association",I31="Contradictory or unresolved"),"Review required","Ready for qualified review")))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IF(A32="","",IF(OR(B32="",C32="",D32="",E32="",F32="",G32="",H32="",I32="",J32=""),"Incomplete",IF(OR(I32="Hypothesis",I32="Observed association",I32="Contradictory or unresolved"),"Review required","Ready for qualified review")))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IF(A33="","",IF(OR(B33="",C33="",D33="",E33="",F33="",G33="",H33="",I33="",J33=""),"Incomplete",IF(OR(I33="Hypothesis",I33="Observed association",I33="Contradictory or unresolved"),"Review required","Ready for qualified review")))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IF(A34="","",IF(OR(B34="",C34="",D34="",E34="",F34="",G34="",H34="",I34="",J34=""),"Incomplete",IF(OR(I34="Hypothesis",I34="Observed association",I34="Contradictory or unresolved"),"Review required","Ready for qualified review")))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IF(A35="","",IF(OR(B35="",C35="",D35="",E35="",F35="",G35="",H35="",I35="",J35=""),"Incomplete",IF(OR(I35="Hypothesis",I35="Observed association",I35="Contradictory or unresolved"),"Review required","Ready for qualified review")))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IF(A36="","",IF(OR(B36="",C36="",D36="",E36="",F36="",G36="",H36="",I36="",J36=""),"Incomplete",IF(OR(I36="Hypothesis",I36="Observed association",I36="Contradictory or unresolved"),"Review required","Ready for qualified review")))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IF(A37="","",IF(OR(B37="",C37="",D37="",E37="",F37="",G37="",H37="",I37="",J37=""),"Incomplete",IF(OR(I37="Hypothesis",I37="Observed association",I37="Contradictory or unresolved"),"Review required","Ready for qualified review")))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IF(A38="","",IF(OR(B38="",C38="",D38="",E38="",F38="",G38="",H38="",I38="",J38=""),"Incomplete",IF(OR(I38="Hypothesis",I38="Observed association",I38="Contradictory or unresolved"),"Review required","Ready for qualified review")))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IF(A39="","",IF(OR(B39="",C39="",D39="",E39="",F39="",G39="",H39="",I39="",J39=""),"Incomplete",IF(OR(I39="Hypothesis",I39="Observed association",I39="Contradictory or unresolved"),"Review required","Ready for qualified review")))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IF(A40="","",IF(OR(B40="",C40="",D40="",E40="",F40="",G40="",H40="",I40="",J40=""),"Incomplete",IF(OR(I40="Hypothesis",I40="Observed association",I40="Contradictory or unresolved"),"Review required","Ready for qualified review")))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IF(A41="","",IF(OR(B41="",C41="",D41="",E41="",F41="",G41="",H41="",I41="",J41=""),"Incomplete",IF(OR(I41="Hypothesis",I41="Observed association",I41="Contradictory or unresolved"),"Review required","Ready for qualified review")))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IF(A42="","",IF(OR(B42="",C42="",D42="",E42="",F42="",G42="",H42="",I42="",J42=""),"Incomplete",IF(OR(I42="Hypothesis",I42="Observed association",I42="Contradictory or unresolved"),"Review required","Ready for qualified review")))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IF(A43="","",IF(OR(B43="",C43="",D43="",E43="",F43="",G43="",H43="",I43="",J43=""),"Incomplete",IF(OR(I43="Hypothesis",I43="Observed association",I43="Contradictory or unresolved"),"Review required","Ready for qualified review")))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IF(A44="","",IF(OR(B44="",C44="",D44="",E44="",F44="",G44="",H44="",I44="",J44=""),"Incomplete",IF(OR(I44="Hypothesis",I44="Observed association",I44="Contradictory or unresolved"),"Review required","Ready for qualified review")))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IF(A45="","",IF(OR(B45="",C45="",D45="",E45="",F45="",G45="",H45="",I45="",J45=""),"Incomplete",IF(OR(I45="Hypothesis",I45="Observed association",I45="Contradictory or unresolved"),"Review required","Ready for qualified review")))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IF(A46="","",IF(OR(B46="",C46="",D46="",E46="",F46="",G46="",H46="",I46="",J46=""),"Incomplete",IF(OR(I46="Hypothesis",I46="Observed association",I46="Contradictory or unresolved"),"Review required","Ready for qualified review")))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IF(A47="","",IF(OR(B47="",C47="",D47="",E47="",F47="",G47="",H47="",I47="",J47=""),"Incomplete",IF(OR(I47="Hypothesis",I47="Observed association",I47="Contradictory or unresolved"),"Review required","Ready for qualified review")))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IF(A48="","",IF(OR(B48="",C48="",D48="",E48="",F48="",G48="",H48="",I48="",J48=""),"Incomplete",IF(OR(I48="Hypothesis",I48="Observed association",I48="Contradictory or unresolved"),"Review required","Ready for qualified review")))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IF(A49="","",IF(OR(B49="",C49="",D49="",E49="",F49="",G49="",H49="",I49="",J49=""),"Incomplete",IF(OR(I49="Hypothesis",I49="Observed association",I49="Contradictory or unresolved"),"Review required","Ready for qualified review")))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IF(A50="","",IF(OR(B50="",C50="",D50="",E50="",F50="",G50="",H50="",I50="",J50=""),"Incomplete",IF(OR(I50="Hypothesis",I50="Observed association",I50="Contradictory or unresolved"),"Review required","Ready for qualified review")))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IF(A51="","",IF(OR(B51="",C51="",D51="",E51="",F51="",G51="",H51="",I51="",J51=""),"Incomplete",IF(OR(I51="Hypothesis",I51="Observed association",I51="Contradictory or unresolved"),"Review required","Ready for qualified review")))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IF(A52="","",IF(OR(B52="",C52="",D52="",E52="",F52="",G52="",H52="",I52="",J52=""),"Incomplete",IF(OR(I52="Hypothesis",I52="Observed association",I52="Contradictory or unresolved"),"Review required","Ready for qualified review")))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IF(A53="","",IF(OR(B53="",C53="",D53="",E53="",F53="",G53="",H53="",I53="",J53=""),"Incomplete",IF(OR(I53="Hypothesis",I53="Observed association",I53="Contradictory or unresolved"),"Review required","Ready for qualified review")))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IF(A54="","",IF(OR(B54="",C54="",D54="",E54="",F54="",G54="",H54="",I54="",J54=""),"Incomplete",IF(OR(I54="Hypothesis",I54="Observed association",I54="Contradictory or unresolved"),"Review required","Ready for qualified review")))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IF(A55="","",IF(OR(B55="",C55="",D55="",E55="",F55="",G55="",H55="",I55="",J55=""),"Incomplete",IF(OR(I55="Hypothesis",I55="Observed association",I55="Contradictory or unresolved"),"Review required","Ready for qualified review")))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IF(A56="","",IF(OR(B56="",C56="",D56="",E56="",F56="",G56="",H56="",I56="",J56=""),"Incomplete",IF(OR(I56="Hypothesis",I56="Observed association",I56="Contradictory or unresolved"),"Review required","Ready for qualified review")))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IF(A57="","",IF(OR(B57="",C57="",D57="",E57="",F57="",G57="",H57="",I57="",J57=""),"Incomplete",IF(OR(I57="Hypothesis",I57="Observed association",I57="Contradictory or unresolved"),"Review required","Ready for qualified review")))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IF(A58="","",IF(OR(B58="",C58="",D58="",E58="",F58="",G58="",H58="",I58="",J58=""),"Incomplete",IF(OR(I58="Hypothesis",I58="Observed association",I58="Contradictory or unresolved"),"Review required","Ready for qualified review")))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IF(A59="","",IF(OR(B59="",C59="",D59="",E59="",F59="",G59="",H59="",I59="",J59=""),"Incomplete",IF(OR(I59="Hypothesis",I59="Observed association",I59="Contradictory or unresolved"),"Review required","Ready for qualified review")))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IF(A60="","",IF(OR(B60="",C60="",D60="",E60="",F60="",G60="",H60="",I60="",J60=""),"Incomplete",IF(OR(I60="Hypothesis",I60="Observed association",I60="Contradictory or unresolved"),"Review required","Ready for qualified review")))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IF(A61="","",IF(OR(B61="",C61="",D61="",E61="",F61="",G61="",H61="",I61="",J61=""),"Incomplete",IF(OR(I61="Hypothesis",I61="Observed association",I61="Contradictory or unresolved"),"Review required","Ready for qualified review")))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IF(A62="","",IF(OR(B62="",C62="",D62="",E62="",F62="",G62="",H62="",I62="",J62=""),"Incomplete",IF(OR(I62="Hypothesis",I62="Observed association",I62="Contradictory or unresolved"),"Review required","Ready for qualified review")))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IF(A63="","",IF(OR(B63="",C63="",D63="",E63="",F63="",G63="",H63="",I63="",J63=""),"Incomplete",IF(OR(I63="Hypothesis",I63="Observed association",I63="Contradictory or unresolved"),"Review required","Ready for qualified review")))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IF(A64="","",IF(OR(B64="",C64="",D64="",E64="",F64="",G64="",H64="",I64="",J64=""),"Incomplete",IF(OR(I64="Hypothesis",I64="Observed association",I64="Contradictory or unresolved"),"Review required","Ready for qualified review")))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IF(A65="","",IF(OR(B65="",C65="",D65="",E65="",F65="",G65="",H65="",I65="",J65=""),"Incomplete",IF(OR(I65="Hypothesis",I65="Observed association",I65="Contradictory or unresolved"),"Review required","Ready for qualified review")))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IF(A66="","",IF(OR(B66="",C66="",D66="",E66="",F66="",G66="",H66="",I66="",J66=""),"Incomplete",IF(OR(I66="Hypothesis",I66="Observed association",I66="Contradictory or unresolved"),"Review required","Ready for qualified review")))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IF(A67="","",IF(OR(B67="",C67="",D67="",E67="",F67="",G67="",H67="",I67="",J67=""),"Incomplete",IF(OR(I67="Hypothesis",I67="Observed association",I67="Contradictory or unresolved"),"Review required","Ready for qualified review")))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IF(A68="","",IF(OR(B68="",C68="",D68="",E68="",F68="",G68="",H68="",I68="",J68=""),"Incomplete",IF(OR(I68="Hypothesis",I68="Observed association",I68="Contradictory or unresolved"),"Review required","Ready for qualified review")))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IF(A69="","",IF(OR(B69="",C69="",D69="",E69="",F69="",G69="",H69="",I69="",J69=""),"Incomplete",IF(OR(I69="Hypothesis",I69="Observed association",I69="Contradictory or unresolved"),"Review required","Ready for qualified review")))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IF(A70="","",IF(OR(B70="",C70="",D70="",E70="",F70="",G70="",H70="",I70="",J70=""),"Incomplete",IF(OR(I70="Hypothesis",I70="Observed association",I70="Contradictory or unresolved"),"Review required","Ready for qualified review")))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IF(A71="","",IF(OR(B71="",C71="",D71="",E71="",F71="",G71="",H71="",I71="",J71=""),"Incomplete",IF(OR(I71="Hypothesis",I71="Observed association",I71="Contradictory or unresolved"),"Review required","Ready for qualified review")))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IF(A72="","",IF(OR(B72="",C72="",D72="",E72="",F72="",G72="",H72="",I72="",J72=""),"Incomplete",IF(OR(I72="Hypothesis",I72="Observed association",I72="Contradictory or unresolved"),"Review required","Ready for qualified review")))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IF(A73="","",IF(OR(B73="",C73="",D73="",E73="",F73="",G73="",H73="",I73="",J73=""),"Incomplete",IF(OR(I73="Hypothesis",I73="Observed association",I73="Contradictory or unresolved"),"Review required","Ready for qualified review")))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IF(A74="","",IF(OR(B74="",C74="",D74="",E74="",F74="",G74="",H74="",I74="",J74=""),"Incomplete",IF(OR(I74="Hypothesis",I74="Observed association",I74="Contradictory or unresolved"),"Review required","Ready for qualified review")))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IF(A75="","",IF(OR(B75="",C75="",D75="",E75="",F75="",G75="",H75="",I75="",J75=""),"Incomplete",IF(OR(I75="Hypothesis",I75="Observed association",I75="Contradictory or unresolved"),"Review required","Ready for qualified review")))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IF(A76="","",IF(OR(B76="",C76="",D76="",E76="",F76="",G76="",H76="",I76="",J76=""),"Incomplete",IF(OR(I76="Hypothesis",I76="Observed association",I76="Contradictory or unresolved"),"Review required","Ready for qualified review")))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IF(A77="","",IF(OR(B77="",C77="",D77="",E77="",F77="",G77="",H77="",I77="",J77=""),"Incomplete",IF(OR(I77="Hypothesis",I77="Observed association",I77="Contradictory or unresolved"),"Review required","Ready for qualified review")))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IF(A78="","",IF(OR(B78="",C78="",D78="",E78="",F78="",G78="",H78="",I78="",J78=""),"Incomplete",IF(OR(I78="Hypothesis",I78="Observed association",I78="Contradictory or unresolved"),"Review required","Ready for qualified review")))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IF(A79="","",IF(OR(B79="",C79="",D79="",E79="",F79="",G79="",H79="",I79="",J79=""),"Incomplete",IF(OR(I79="Hypothesis",I79="Observed association",I79="Contradictory or unresolved"),"Review required","Ready for qualified review")))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IF(A80="","",IF(OR(B80="",C80="",D80="",E80="",F80="",G80="",H80="",I80="",J80=""),"Incomplete",IF(OR(I80="Hypothesis",I80="Observed association",I80="Contradictory or unresolved"),"Review required","Ready for qualified review")))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IF(A81="","",IF(OR(B81="",C81="",D81="",E81="",F81="",G81="",H81="",I81="",J81=""),"Incomplete",IF(OR(I81="Hypothesis",I81="Observed association",I81="Contradictory or unresolved"),"Review required","Ready for qualified review")))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IF(A82="","",IF(OR(B82="",C82="",D82="",E82="",F82="",G82="",H82="",I82="",J82=""),"Incomplete",IF(OR(I82="Hypothesis",I82="Observed association",I82="Contradictory or unresolved"),"Review required","Ready for qualified review")))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IF(A83="","",IF(OR(B83="",C83="",D83="",E83="",F83="",G83="",H83="",I83="",J83=""),"Incomplete",IF(OR(I83="Hypothesis",I83="Observed association",I83="Contradictory or unresolved"),"Review required","Ready for qualified review")))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IF(A84="","",IF(OR(B84="",C84="",D84="",E84="",F84="",G84="",H84="",I84="",J84=""),"Incomplete",IF(OR(I84="Hypothesis",I84="Observed association",I84="Contradictory or unresolved"),"Review required","Ready for qualified review")))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IF(A85="","",IF(OR(B85="",C85="",D85="",E85="",F85="",G85="",H85="",I85="",J85=""),"Incomplete",IF(OR(I85="Hypothesis",I85="Observed association",I85="Contradictory or unresolved"),"Review required","Ready for qualified review")))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IF(A86="","",IF(OR(B86="",C86="",D86="",E86="",F86="",G86="",H86="",I86="",J86=""),"Incomplete",IF(OR(I86="Hypothesis",I86="Observed association",I86="Contradictory or unresolved"),"Review required","Ready for qualified review")))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IF(A87="","",IF(OR(B87="",C87="",D87="",E87="",F87="",G87="",H87="",I87="",J87=""),"Incomplete",IF(OR(I87="Hypothesis",I87="Observed association",I87="Contradictory or unresolved"),"Review required","Ready for qualified review")))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IF(A88="","",IF(OR(B88="",C88="",D88="",E88="",F88="",G88="",H88="",I88="",J88=""),"Incomplete",IF(OR(I88="Hypothesis",I88="Observed association",I88="Contradictory or unresolved"),"Review required","Ready for qualified review")))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IF(A89="","",IF(OR(B89="",C89="",D89="",E89="",F89="",G89="",H89="",I89="",J89=""),"Incomplete",IF(OR(I89="Hypothesis",I89="Observed association",I89="Contradictory or unresolved"),"Review required","Ready for qualified review")))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IF(A90="","",IF(OR(B90="",C90="",D90="",E90="",F90="",G90="",H90="",I90="",J90=""),"Incomplete",IF(OR(I90="Hypothesis",I90="Observed association",I90="Contradictory or unresolved"),"Review required","Ready for qualified review")))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IF(A91="","",IF(OR(B91="",C91="",D91="",E91="",F91="",G91="",H91="",I91="",J91=""),"Incomplete",IF(OR(I91="Hypothesis",I91="Observed association",I91="Contradictory or unresolved"),"Review required","Ready for qualified review")))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IF(A92="","",IF(OR(B92="",C92="",D92="",E92="",F92="",G92="",H92="",I92="",J92=""),"Incomplete",IF(OR(I92="Hypothesis",I92="Observed association",I92="Contradictory or unresolved"),"Review required","Ready for qualified review")))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IF(A93="","",IF(OR(B93="",C93="",D93="",E93="",F93="",G93="",H93="",I93="",J93=""),"Incomplete",IF(OR(I93="Hypothesis",I93="Observed association",I93="Contradictory or unresolved"),"Review required","Ready for qualified review")))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IF(A94="","",IF(OR(B94="",C94="",D94="",E94="",F94="",G94="",H94="",I94="",J94=""),"Incomplete",IF(OR(I94="Hypothesis",I94="Observed association",I94="Contradictory or unresolved"),"Review required","Ready for qualified review")))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IF(A95="","",IF(OR(B95="",C95="",D95="",E95="",F95="",G95="",H95="",I95="",J95=""),"Incomplete",IF(OR(I95="Hypothesis",I95="Observed association",I95="Contradictory or unresolved"),"Review required","Ready for qualified review")))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IF(A96="","",IF(OR(B96="",C96="",D96="",E96="",F96="",G96="",H96="",I96="",J96=""),"Incomplete",IF(OR(I96="Hypothesis",I96="Observed association",I96="Contradictory or unresolved"),"Review required","Ready for qualified review")))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IF(A97="","",IF(OR(B97="",C97="",D97="",E97="",F97="",G97="",H97="",I97="",J97=""),"Incomplete",IF(OR(I97="Hypothesis",I97="Observed association",I97="Contradictory or unresolved"),"Review required","Ready for qualified review")))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IF(A98="","",IF(OR(B98="",C98="",D98="",E98="",F98="",G98="",H98="",I98="",J98=""),"Incomplete",IF(OR(I98="Hypothesis",I98="Observed association",I98="Contradictory or unresolved"),"Review required","Ready for qualified review")))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IF(A99="","",IF(OR(B99="",C99="",D99="",E99="",F99="",G99="",H99="",I99="",J99=""),"Incomplete",IF(OR(I99="Hypothesis",I99="Observed association",I99="Contradictory or unresolved"),"Review required","Ready for qualified review")))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IF(A100="","",IF(OR(B100="",C100="",D100="",E100="",F100="",G100="",H100="",I100="",J100=""),"Incomplete",IF(OR(I100="Hypothesis",I100="Observed association",I100="Contradictory or unresolved"),"Review required","Ready for qualified review")))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IF(A101="","",IF(OR(B101="",C101="",D101="",E101="",F101="",G101="",H101="",I101="",J101=""),"Incomplete",IF(OR(I101="Hypothesis",I101="Observed association",I101="Contradictory or unresolved"),"Review required","Ready for qualified review")))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IF(A102="","",IF(OR(B102="",C102="",D102="",E102="",F102="",G102="",H102="",I102="",J102=""),"Incomplete",IF(OR(I102="Hypothesis",I102="Observed association",I102="Contradictory or unresolved"),"Review required","Ready for qualified review")))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IF(A103="","",IF(OR(B103="",C103="",D103="",E103="",F103="",G103="",H103="",I103="",J103=""),"Incomplete",IF(OR(I103="Hypothesis",I103="Observed association",I103="Contradictory or unresolved"),"Review required","Ready for qualified review")))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IF(A104="","",IF(OR(B104="",C104="",D104="",E104="",F104="",G104="",H104="",I104="",J104=""),"Incomplete",IF(OR(I104="Hypothesis",I104="Observed association",I104="Contradictory or unresolved"),"Review required","Ready for qualified review")))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75" t="str">
        <x:f>IF(A105="","",IF(OR(B105="",C105="",D105="",E105="",F105="",G105="",H105="",I105="",J105=""),"Incomplete",IF(OR(I105="Hypothesis",I105="Observed association",I105="Contradictory or unresolved"),"Review required","Ready for qualified review")))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75" t="str">
        <x:f>IF(A106="","",IF(OR(B106="",C106="",D106="",E106="",F106="",G106="",H106="",I106="",J106=""),"Incomplete",IF(OR(I106="Hypothesis",I106="Observed association",I106="Contradictory or unresolved"),"Review required","Ready for qualified review")))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75" t="str">
        <x:f>IF(A107="","",IF(OR(B107="",C107="",D107="",E107="",F107="",G107="",H107="",I107="",J107=""),"Incomplete",IF(OR(I107="Hypothesis",I107="Observed association",I107="Contradictory or unresolved"),"Review required","Ready for qualified review")))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75" t="str">
        <x:f>IF(A108="","",IF(OR(B108="",C108="",D108="",E108="",F108="",G108="",H108="",I108="",J108=""),"Incomplete",IF(OR(I108="Hypothesis",I108="Observed association",I108="Contradictory or unresolved"),"Review required","Ready for qualified review")))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75" t="str">
        <x:f>IF(A109="","",IF(OR(B109="",C109="",D109="",E109="",F109="",G109="",H109="",I109="",J109=""),"Incomplete",IF(OR(I109="Hypothesis",I109="Observed association",I109="Contradictory or unresolved"),"Review required","Ready for qualified review")))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75" t="str">
        <x:f>IF(A110="","",IF(OR(B110="",C110="",D110="",E110="",F110="",G110="",H110="",I110="",J110=""),"Incomplete",IF(OR(I110="Hypothesis",I110="Observed association",I110="Contradictory or unresolved"),"Review required","Ready for qualified review")))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75" t="str">
        <x:f>IF(A111="","",IF(OR(B111="",C111="",D111="",E111="",F111="",G111="",H111="",I111="",J111=""),"Incomplete",IF(OR(I111="Hypothesis",I111="Observed association",I111="Contradictory or unresolved"),"Review required","Ready for qualified review")))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75" t="str">
        <x:f>IF(A112="","",IF(OR(B112="",C112="",D112="",E112="",F112="",G112="",H112="",I112="",J112=""),"Incomplete",IF(OR(I112="Hypothesis",I112="Observed association",I112="Contradictory or unresolved"),"Review required","Ready for qualified review")))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75" t="str">
        <x:f>IF(A113="","",IF(OR(B113="",C113="",D113="",E113="",F113="",G113="",H113="",I113="",J113=""),"Incomplete",IF(OR(I113="Hypothesis",I113="Observed association",I113="Contradictory or unresolved"),"Review required","Ready for qualified review")))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75" t="str">
        <x:f>IF(A114="","",IF(OR(B114="",C114="",D114="",E114="",F114="",G114="",H114="",I114="",J114=""),"Incomplete",IF(OR(I114="Hypothesis",I114="Observed association",I114="Contradictory or unresolved"),"Review required","Ready for qualified review")))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75" t="str">
        <x:f>IF(A115="","",IF(OR(B115="",C115="",D115="",E115="",F115="",G115="",H115="",I115="",J115=""),"Incomplete",IF(OR(I115="Hypothesis",I115="Observed association",I115="Contradictory or unresolved"),"Review required","Ready for qualified review")))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75" t="str">
        <x:f>IF(A116="","",IF(OR(B116="",C116="",D116="",E116="",F116="",G116="",H116="",I116="",J116=""),"Incomplete",IF(OR(I116="Hypothesis",I116="Observed association",I116="Contradictory or unresolved"),"Review required","Ready for qualified review")))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75" t="str">
        <x:f>IF(A117="","",IF(OR(B117="",C117="",D117="",E117="",F117="",G117="",H117="",I117="",J117=""),"Incomplete",IF(OR(I117="Hypothesis",I117="Observed association",I117="Contradictory or unresolved"),"Review required","Ready for qualified review")))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75" t="str">
        <x:f>IF(A118="","",IF(OR(B118="",C118="",D118="",E118="",F118="",G118="",H118="",I118="",J118=""),"Incomplete",IF(OR(I118="Hypothesis",I118="Observed association",I118="Contradictory or unresolved"),"Review required","Ready for qualified review")))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75" t="str">
        <x:f>IF(A119="","",IF(OR(B119="",C119="",D119="",E119="",F119="",G119="",H119="",I119="",J119=""),"Incomplete",IF(OR(I119="Hypothesis",I119="Observed association",I119="Contradictory or unresolved"),"Review required","Ready for qualified review")))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75" t="str">
        <x:f>IF(A120="","",IF(OR(B120="",C120="",D120="",E120="",F120="",G120="",H120="",I120="",J120=""),"Incomplete",IF(OR(I120="Hypothesis",I120="Observed association",I120="Contradictory or unresolved"),"Review required","Ready for qualified review")))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75" t="str">
        <x:f>IF(A121="","",IF(OR(B121="",C121="",D121="",E121="",F121="",G121="",H121="",I121="",J121=""),"Incomplete",IF(OR(I121="Hypothesis",I121="Observed association",I121="Contradictory or unresolved"),"Review required","Ready for qualified review")))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75" t="str">
        <x:f>IF(A122="","",IF(OR(B122="",C122="",D122="",E122="",F122="",G122="",H122="",I122="",J122=""),"Incomplete",IF(OR(I122="Hypothesis",I122="Observed association",I122="Contradictory or unresolved"),"Review required","Ready for qualified review")))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75" t="str">
        <x:f>IF(A123="","",IF(OR(B123="",C123="",D123="",E123="",F123="",G123="",H123="",I123="",J123=""),"Incomplete",IF(OR(I123="Hypothesis",I123="Observed association",I123="Contradictory or unresolved"),"Review required","Ready for qualified review")))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75" t="str">
        <x:f>IF(A124="","",IF(OR(B124="",C124="",D124="",E124="",F124="",G124="",H124="",I124="",J124=""),"Incomplete",IF(OR(I124="Hypothesis",I124="Observed association",I124="Contradictory or unresolved"),"Review required","Ready for qualified review")))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75" t="str">
        <x:f>IF(A125="","",IF(OR(B125="",C125="",D125="",E125="",F125="",G125="",H125="",I125="",J125=""),"Incomplete",IF(OR(I125="Hypothesis",I125="Observed association",I125="Contradictory or unresolved"),"Review required","Ready for qualified review")))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75" t="str">
        <x:f>IF(A126="","",IF(OR(B126="",C126="",D126="",E126="",F126="",G126="",H126="",I126="",J126=""),"Incomplete",IF(OR(I126="Hypothesis",I126="Observed association",I126="Contradictory or unresolved"),"Review required","Ready for qualified review")))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75" t="str">
        <x:f>IF(A127="","",IF(OR(B127="",C127="",D127="",E127="",F127="",G127="",H127="",I127="",J127=""),"Incomplete",IF(OR(I127="Hypothesis",I127="Observed association",I127="Contradictory or unresolved"),"Review required","Ready for qualified review")))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75" t="str">
        <x:f>IF(A128="","",IF(OR(B128="",C128="",D128="",E128="",F128="",G128="",H128="",I128="",J128=""),"Incomplete",IF(OR(I128="Hypothesis",I128="Observed association",I128="Contradictory or unresolved"),"Review required","Ready for qualified review")))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75" t="str">
        <x:f>IF(A129="","",IF(OR(B129="",C129="",D129="",E129="",F129="",G129="",H129="",I129="",J129=""),"Incomplete",IF(OR(I129="Hypothesis",I129="Observed association",I129="Contradictory or unresolved"),"Review required","Ready for qualified review")))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75" t="str">
        <x:f>IF(A130="","",IF(OR(B130="",C130="",D130="",E130="",F130="",G130="",H130="",I130="",J130=""),"Incomplete",IF(OR(I130="Hypothesis",I130="Observed association",I130="Contradictory or unresolved"),"Review required","Ready for qualified review")))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75" t="str">
        <x:f>IF(A131="","",IF(OR(B131="",C131="",D131="",E131="",F131="",G131="",H131="",I131="",J131=""),"Incomplete",IF(OR(I131="Hypothesis",I131="Observed association",I131="Contradictory or unresolved"),"Review required","Ready for qualified review")))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75" t="str">
        <x:f>IF(A132="","",IF(OR(B132="",C132="",D132="",E132="",F132="",G132="",H132="",I132="",J132=""),"Incomplete",IF(OR(I132="Hypothesis",I132="Observed association",I132="Contradictory or unresolved"),"Review required","Ready for qualified review")))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75" t="str">
        <x:f>IF(A133="","",IF(OR(B133="",C133="",D133="",E133="",F133="",G133="",H133="",I133="",J133=""),"Incomplete",IF(OR(I133="Hypothesis",I133="Observed association",I133="Contradictory or unresolved"),"Review required","Ready for qualified review")))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75" t="str">
        <x:f>IF(A134="","",IF(OR(B134="",C134="",D134="",E134="",F134="",G134="",H134="",I134="",J134=""),"Incomplete",IF(OR(I134="Hypothesis",I134="Observed association",I134="Contradictory or unresolved"),"Review required","Ready for qualified review")))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75" t="str">
        <x:f>IF(A135="","",IF(OR(B135="",C135="",D135="",E135="",F135="",G135="",H135="",I135="",J135=""),"Incomplete",IF(OR(I135="Hypothesis",I135="Observed association",I135="Contradictory or unresolved"),"Review required","Ready for qualified review")))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75" t="str">
        <x:f>IF(A136="","",IF(OR(B136="",C136="",D136="",E136="",F136="",G136="",H136="",I136="",J136=""),"Incomplete",IF(OR(I136="Hypothesis",I136="Observed association",I136="Contradictory or unresolved"),"Review required","Ready for qualified review")))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75" t="str">
        <x:f>IF(A137="","",IF(OR(B137="",C137="",D137="",E137="",F137="",G137="",H137="",I137="",J137=""),"Incomplete",IF(OR(I137="Hypothesis",I137="Observed association",I137="Contradictory or unresolved"),"Review required","Ready for qualified review")))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75" t="str">
        <x:f>IF(A138="","",IF(OR(B138="",C138="",D138="",E138="",F138="",G138="",H138="",I138="",J138=""),"Incomplete",IF(OR(I138="Hypothesis",I138="Observed association",I138="Contradictory or unresolved"),"Review required","Ready for qualified review")))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75" t="str">
        <x:f>IF(A139="","",IF(OR(B139="",C139="",D139="",E139="",F139="",G139="",H139="",I139="",J139=""),"Incomplete",IF(OR(I139="Hypothesis",I139="Observed association",I139="Contradictory or unresolved"),"Review required","Ready for qualified review")))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75" t="str">
        <x:f>IF(A140="","",IF(OR(B140="",C140="",D140="",E140="",F140="",G140="",H140="",I140="",J140=""),"Incomplete",IF(OR(I140="Hypothesis",I140="Observed association",I140="Contradictory or unresolved"),"Review required","Ready for qualified review")))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75" t="str">
        <x:f>IF(A141="","",IF(OR(B141="",C141="",D141="",E141="",F141="",G141="",H141="",I141="",J141=""),"Incomplete",IF(OR(I141="Hypothesis",I141="Observed association",I141="Contradictory or unresolved"),"Review required","Ready for qualified review")))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75" t="str">
        <x:f>IF(A142="","",IF(OR(B142="",C142="",D142="",E142="",F142="",G142="",H142="",I142="",J142=""),"Incomplete",IF(OR(I142="Hypothesis",I142="Observed association",I142="Contradictory or unresolved"),"Review required","Ready for qualified review")))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75" t="str">
        <x:f>IF(A143="","",IF(OR(B143="",C143="",D143="",E143="",F143="",G143="",H143="",I143="",J143=""),"Incomplete",IF(OR(I143="Hypothesis",I143="Observed association",I143="Contradictory or unresolved"),"Review required","Ready for qualified review")))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75" t="str">
        <x:f>IF(A144="","",IF(OR(B144="",C144="",D144="",E144="",F144="",G144="",H144="",I144="",J144=""),"Incomplete",IF(OR(I144="Hypothesis",I144="Observed association",I144="Contradictory or unresolved"),"Review required","Ready for qualified review")))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75" t="str">
        <x:f>IF(A145="","",IF(OR(B145="",C145="",D145="",E145="",F145="",G145="",H145="",I145="",J145=""),"Incomplete",IF(OR(I145="Hypothesis",I145="Observed association",I145="Contradictory or unresolved"),"Review required","Ready for qualified review")))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75" t="str">
        <x:f>IF(A146="","",IF(OR(B146="",C146="",D146="",E146="",F146="",G146="",H146="",I146="",J146=""),"Incomplete",IF(OR(I146="Hypothesis",I146="Observed association",I146="Contradictory or unresolved"),"Review required","Ready for qualified review")))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75" t="str">
        <x:f>IF(A147="","",IF(OR(B147="",C147="",D147="",E147="",F147="",G147="",H147="",I147="",J147=""),"Incomplete",IF(OR(I147="Hypothesis",I147="Observed association",I147="Contradictory or unresolved"),"Review required","Ready for qualified review")))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75" t="str">
        <x:f>IF(A148="","",IF(OR(B148="",C148="",D148="",E148="",F148="",G148="",H148="",I148="",J148=""),"Incomplete",IF(OR(I148="Hypothesis",I148="Observed association",I148="Contradictory or unresolved"),"Review required","Ready for qualified review")))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75" t="str">
        <x:f>IF(A149="","",IF(OR(B149="",C149="",D149="",E149="",F149="",G149="",H149="",I149="",J149=""),"Incomplete",IF(OR(I149="Hypothesis",I149="Observed association",I149="Contradictory or unresolved"),"Review required","Ready for qualified review")))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75" t="str">
        <x:f>IF(A150="","",IF(OR(B150="",C150="",D150="",E150="",F150="",G150="",H150="",I150="",J150=""),"Incomplete",IF(OR(I150="Hypothesis",I150="Observed association",I150="Contradictory or unresolved"),"Review required","Ready for qualified review")))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75" t="str">
        <x:f>IF(A151="","",IF(OR(B151="",C151="",D151="",E151="",F151="",G151="",H151="",I151="",J151=""),"Incomplete",IF(OR(I151="Hypothesis",I151="Observed association",I151="Contradictory or unresolved"),"Review required","Ready for qualified review")))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75" t="str">
        <x:f>IF(A152="","",IF(OR(B152="",C152="",D152="",E152="",F152="",G152="",H152="",I152="",J152=""),"Incomplete",IF(OR(I152="Hypothesis",I152="Observed association",I152="Contradictory or unresolved"),"Review required","Ready for qualified review")))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75" t="str">
        <x:f>IF(A153="","",IF(OR(B153="",C153="",D153="",E153="",F153="",G153="",H153="",I153="",J153=""),"Incomplete",IF(OR(I153="Hypothesis",I153="Observed association",I153="Contradictory or unresolved"),"Review required","Ready for qualified review")))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75" t="str">
        <x:f>IF(A154="","",IF(OR(B154="",C154="",D154="",E154="",F154="",G154="",H154="",I154="",J154=""),"Incomplete",IF(OR(I154="Hypothesis",I154="Observed association",I154="Contradictory or unresolved"),"Review required","Ready for qualified review")))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75" t="str">
        <x:f>IF(A155="","",IF(OR(B155="",C155="",D155="",E155="",F155="",G155="",H155="",I155="",J155=""),"Incomplete",IF(OR(I155="Hypothesis",I155="Observed association",I155="Contradictory or unresolved"),"Review required","Ready for qualified review")))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75" t="str">
        <x:f>IF(A156="","",IF(OR(B156="",C156="",D156="",E156="",F156="",G156="",H156="",I156="",J156=""),"Incomplete",IF(OR(I156="Hypothesis",I156="Observed association",I156="Contradictory or unresolved"),"Review required","Ready for qualified review")))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75" t="str">
        <x:f>IF(A157="","",IF(OR(B157="",C157="",D157="",E157="",F157="",G157="",H157="",I157="",J157=""),"Incomplete",IF(OR(I157="Hypothesis",I157="Observed association",I157="Contradictory or unresolved"),"Review required","Ready for qualified review")))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75" t="str">
        <x:f>IF(A158="","",IF(OR(B158="",C158="",D158="",E158="",F158="",G158="",H158="",I158="",J158=""),"Incomplete",IF(OR(I158="Hypothesis",I158="Observed association",I158="Contradictory or unresolved"),"Review required","Ready for qualified review")))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75" t="str">
        <x:f>IF(A159="","",IF(OR(B159="",C159="",D159="",E159="",F159="",G159="",H159="",I159="",J159=""),"Incomplete",IF(OR(I159="Hypothesis",I159="Observed association",I159="Contradictory or unresolved"),"Review required","Ready for qualified review")))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75" t="str">
        <x:f>IF(A160="","",IF(OR(B160="",C160="",D160="",E160="",F160="",G160="",H160="",I160="",J160=""),"Incomplete",IF(OR(I160="Hypothesis",I160="Observed association",I160="Contradictory or unresolved"),"Review required","Ready for qualified review")))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75" t="str">
        <x:f>IF(A161="","",IF(OR(B161="",C161="",D161="",E161="",F161="",G161="",H161="",I161="",J161=""),"Incomplete",IF(OR(I161="Hypothesis",I161="Observed association",I161="Contradictory or unresolved"),"Review required","Ready for qualified review")))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75" t="str">
        <x:f>IF(A162="","",IF(OR(B162="",C162="",D162="",E162="",F162="",G162="",H162="",I162="",J162=""),"Incomplete",IF(OR(I162="Hypothesis",I162="Observed association",I162="Contradictory or unresolved"),"Review required","Ready for qualified review")))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75" t="str">
        <x:f>IF(A163="","",IF(OR(B163="",C163="",D163="",E163="",F163="",G163="",H163="",I163="",J163=""),"Incomplete",IF(OR(I163="Hypothesis",I163="Observed association",I163="Contradictory or unresolved"),"Review required","Ready for qualified review")))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75" t="str">
        <x:f>IF(A164="","",IF(OR(B164="",C164="",D164="",E164="",F164="",G164="",H164="",I164="",J164=""),"Incomplete",IF(OR(I164="Hypothesis",I164="Observed association",I164="Contradictory or unresolved"),"Review required","Ready for qualified review")))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75" t="str">
        <x:f>IF(A165="","",IF(OR(B165="",C165="",D165="",E165="",F165="",G165="",H165="",I165="",J165=""),"Incomplete",IF(OR(I165="Hypothesis",I165="Observed association",I165="Contradictory or unresolved"),"Review required","Ready for qualified review")))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75" t="str">
        <x:f>IF(A166="","",IF(OR(B166="",C166="",D166="",E166="",F166="",G166="",H166="",I166="",J166=""),"Incomplete",IF(OR(I166="Hypothesis",I166="Observed association",I166="Contradictory or unresolved"),"Review required","Ready for qualified review")))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75" t="str">
        <x:f>IF(A167="","",IF(OR(B167="",C167="",D167="",E167="",F167="",G167="",H167="",I167="",J167=""),"Incomplete",IF(OR(I167="Hypothesis",I167="Observed association",I167="Contradictory or unresolved"),"Review required","Ready for qualified review")))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75" t="str">
        <x:f>IF(A168="","",IF(OR(B168="",C168="",D168="",E168="",F168="",G168="",H168="",I168="",J168=""),"Incomplete",IF(OR(I168="Hypothesis",I168="Observed association",I168="Contradictory or unresolved"),"Review required","Ready for qualified review")))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75" t="str">
        <x:f>IF(A169="","",IF(OR(B169="",C169="",D169="",E169="",F169="",G169="",H169="",I169="",J169=""),"Incomplete",IF(OR(I169="Hypothesis",I169="Observed association",I169="Contradictory or unresolved"),"Review required","Ready for qualified review")))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75" t="str">
        <x:f>IF(A170="","",IF(OR(B170="",C170="",D170="",E170="",F170="",G170="",H170="",I170="",J170=""),"Incomplete",IF(OR(I170="Hypothesis",I170="Observed association",I170="Contradictory or unresolved"),"Review required","Ready for qualified review")))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75" t="str">
        <x:f>IF(A171="","",IF(OR(B171="",C171="",D171="",E171="",F171="",G171="",H171="",I171="",J171=""),"Incomplete",IF(OR(I171="Hypothesis",I171="Observed association",I171="Contradictory or unresolved"),"Review required","Ready for qualified review")))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75" t="str">
        <x:f>IF(A172="","",IF(OR(B172="",C172="",D172="",E172="",F172="",G172="",H172="",I172="",J172=""),"Incomplete",IF(OR(I172="Hypothesis",I172="Observed association",I172="Contradictory or unresolved"),"Review required","Ready for qualified review")))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75" t="str">
        <x:f>IF(A173="","",IF(OR(B173="",C173="",D173="",E173="",F173="",G173="",H173="",I173="",J173=""),"Incomplete",IF(OR(I173="Hypothesis",I173="Observed association",I173="Contradictory or unresolved"),"Review required","Ready for qualified review")))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75" t="str">
        <x:f>IF(A174="","",IF(OR(B174="",C174="",D174="",E174="",F174="",G174="",H174="",I174="",J174=""),"Incomplete",IF(OR(I174="Hypothesis",I174="Observed association",I174="Contradictory or unresolved"),"Review required","Ready for qualified review")))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75" t="str">
        <x:f>IF(A175="","",IF(OR(B175="",C175="",D175="",E175="",F175="",G175="",H175="",I175="",J175=""),"Incomplete",IF(OR(I175="Hypothesis",I175="Observed association",I175="Contradictory or unresolved"),"Review required","Ready for qualified review")))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75" t="str">
        <x:f>IF(A176="","",IF(OR(B176="",C176="",D176="",E176="",F176="",G176="",H176="",I176="",J176=""),"Incomplete",IF(OR(I176="Hypothesis",I176="Observed association",I176="Contradictory or unresolved"),"Review required","Ready for qualified review")))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75" t="str">
        <x:f>IF(A177="","",IF(OR(B177="",C177="",D177="",E177="",F177="",G177="",H177="",I177="",J177=""),"Incomplete",IF(OR(I177="Hypothesis",I177="Observed association",I177="Contradictory or unresolved"),"Review required","Ready for qualified review")))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75" t="str">
        <x:f>IF(A178="","",IF(OR(B178="",C178="",D178="",E178="",F178="",G178="",H178="",I178="",J178=""),"Incomplete",IF(OR(I178="Hypothesis",I178="Observed association",I178="Contradictory or unresolved"),"Review required","Ready for qualified review")))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75" t="str">
        <x:f>IF(A179="","",IF(OR(B179="",C179="",D179="",E179="",F179="",G179="",H179="",I179="",J179=""),"Incomplete",IF(OR(I179="Hypothesis",I179="Observed association",I179="Contradictory or unresolved"),"Review required","Ready for qualified review")))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75" t="str">
        <x:f>IF(A180="","",IF(OR(B180="",C180="",D180="",E180="",F180="",G180="",H180="",I180="",J180=""),"Incomplete",IF(OR(I180="Hypothesis",I180="Observed association",I180="Contradictory or unresolved"),"Review required","Ready for qualified review")))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75" t="str">
        <x:f>IF(A181="","",IF(OR(B181="",C181="",D181="",E181="",F181="",G181="",H181="",I181="",J181=""),"Incomplete",IF(OR(I181="Hypothesis",I181="Observed association",I181="Contradictory or unresolved"),"Review required","Ready for qualified review")))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75" t="str">
        <x:f>IF(A182="","",IF(OR(B182="",C182="",D182="",E182="",F182="",G182="",H182="",I182="",J182=""),"Incomplete",IF(OR(I182="Hypothesis",I182="Observed association",I182="Contradictory or unresolved"),"Review required","Ready for qualified review")))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75" t="str">
        <x:f>IF(A183="","",IF(OR(B183="",C183="",D183="",E183="",F183="",G183="",H183="",I183="",J183=""),"Incomplete",IF(OR(I183="Hypothesis",I183="Observed association",I183="Contradictory or unresolved"),"Review required","Ready for qualified review")))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75" t="str">
        <x:f>IF(A184="","",IF(OR(B184="",C184="",D184="",E184="",F184="",G184="",H184="",I184="",J184=""),"Incomplete",IF(OR(I184="Hypothesis",I184="Observed association",I184="Contradictory or unresolved"),"Review required","Ready for qualified review")))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75" t="str">
        <x:f>IF(A185="","",IF(OR(B185="",C185="",D185="",E185="",F185="",G185="",H185="",I185="",J185=""),"Incomplete",IF(OR(I185="Hypothesis",I185="Observed association",I185="Contradictory or unresolved"),"Review required","Ready for qualified review")))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75" t="str">
        <x:f>IF(A186="","",IF(OR(B186="",C186="",D186="",E186="",F186="",G186="",H186="",I186="",J186=""),"Incomplete",IF(OR(I186="Hypothesis",I186="Observed association",I186="Contradictory or unresolved"),"Review required","Ready for qualified review")))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75" t="str">
        <x:f>IF(A187="","",IF(OR(B187="",C187="",D187="",E187="",F187="",G187="",H187="",I187="",J187=""),"Incomplete",IF(OR(I187="Hypothesis",I187="Observed association",I187="Contradictory or unresolved"),"Review required","Ready for qualified review")))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75" t="str">
        <x:f>IF(A188="","",IF(OR(B188="",C188="",D188="",E188="",F188="",G188="",H188="",I188="",J188=""),"Incomplete",IF(OR(I188="Hypothesis",I188="Observed association",I188="Contradictory or unresolved"),"Review required","Ready for qualified review")))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75" t="str">
        <x:f>IF(A189="","",IF(OR(B189="",C189="",D189="",E189="",F189="",G189="",H189="",I189="",J189=""),"Incomplete",IF(OR(I189="Hypothesis",I189="Observed association",I189="Contradictory or unresolved"),"Review required","Ready for qualified review")))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75" t="str">
        <x:f>IF(A190="","",IF(OR(B190="",C190="",D190="",E190="",F190="",G190="",H190="",I190="",J190=""),"Incomplete",IF(OR(I190="Hypothesis",I190="Observed association",I190="Contradictory or unresolved"),"Review required","Ready for qualified review")))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75" t="str">
        <x:f>IF(A191="","",IF(OR(B191="",C191="",D191="",E191="",F191="",G191="",H191="",I191="",J191=""),"Incomplete",IF(OR(I191="Hypothesis",I191="Observed association",I191="Contradictory or unresolved"),"Review required","Ready for qualified review")))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75" t="str">
        <x:f>IF(A192="","",IF(OR(B192="",C192="",D192="",E192="",F192="",G192="",H192="",I192="",J192=""),"Incomplete",IF(OR(I192="Hypothesis",I192="Observed association",I192="Contradictory or unresolved"),"Review required","Ready for qualified review")))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75" t="str">
        <x:f>IF(A193="","",IF(OR(B193="",C193="",D193="",E193="",F193="",G193="",H193="",I193="",J193=""),"Incomplete",IF(OR(I193="Hypothesis",I193="Observed association",I193="Contradictory or unresolved"),"Review required","Ready for qualified review")))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75" t="str">
        <x:f>IF(A194="","",IF(OR(B194="",C194="",D194="",E194="",F194="",G194="",H194="",I194="",J194=""),"Incomplete",IF(OR(I194="Hypothesis",I194="Observed association",I194="Contradictory or unresolved"),"Review required","Ready for qualified review")))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75" t="str">
        <x:f>IF(A195="","",IF(OR(B195="",C195="",D195="",E195="",F195="",G195="",H195="",I195="",J195=""),"Incomplete",IF(OR(I195="Hypothesis",I195="Observed association",I195="Contradictory or unresolved"),"Review required","Ready for qualified review")))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75" t="str">
        <x:f>IF(A196="","",IF(OR(B196="",C196="",D196="",E196="",F196="",G196="",H196="",I196="",J196=""),"Incomplete",IF(OR(I196="Hypothesis",I196="Observed association",I196="Contradictory or unresolved"),"Review required","Ready for qualified review")))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75" t="str">
        <x:f>IF(A197="","",IF(OR(B197="",C197="",D197="",E197="",F197="",G197="",H197="",I197="",J197=""),"Incomplete",IF(OR(I197="Hypothesis",I197="Observed association",I197="Contradictory or unresolved"),"Review required","Ready for qualified review")))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75" t="str">
        <x:f>IF(A198="","",IF(OR(B198="",C198="",D198="",E198="",F198="",G198="",H198="",I198="",J198=""),"Incomplete",IF(OR(I198="Hypothesis",I198="Observed association",I198="Contradictory or unresolved"),"Review required","Ready for qualified review")))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75" t="str">
        <x:f>IF(A199="","",IF(OR(B199="",C199="",D199="",E199="",F199="",G199="",H199="",I199="",J199=""),"Incomplete",IF(OR(I199="Hypothesis",I199="Observed association",I199="Contradictory or unresolved"),"Review required","Ready for qualified review")))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75" t="str">
        <x:f>IF(A200="","",IF(OR(B200="",C200="",D200="",E200="",F200="",G200="",H200="",I200="",J200=""),"Incomplete",IF(OR(I200="Hypothesis",I200="Observed association",I200="Contradictory or unresolved"),"Review required","Ready for qualified review")))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75" t="str">
        <x:f>IF(A201="","",IF(OR(B201="",C201="",D201="",E201="",F201="",G201="",H201="",I201="",J201=""),"Incomplete",IF(OR(I201="Hypothesis",I201="Observed association",I201="Contradictory or unresolved"),"Review required","Ready for qualified review")))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75" t="str">
        <x:f>IF(A202="","",IF(OR(B202="",C202="",D202="",E202="",F202="",G202="",H202="",I202="",J202=""),"Incomplete",IF(OR(I202="Hypothesis",I202="Observed association",I202="Contradictory or unresolved"),"Review required","Ready for qualified review")))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75" t="str">
        <x:f>IF(A203="","",IF(OR(B203="",C203="",D203="",E203="",F203="",G203="",H203="",I203="",J203=""),"Incomplete",IF(OR(I203="Hypothesis",I203="Observed association",I203="Contradictory or unresolved"),"Review required","Ready for qualified review")))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75" t="str">
        <x:f>IF(A204="","",IF(OR(B204="",C204="",D204="",E204="",F204="",G204="",H204="",I204="",J204=""),"Incomplete",IF(OR(I204="Hypothesis",I204="Observed association",I204="Contradictory or unresolved"),"Review required","Ready for qualified review")))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6" t="str">
        <x:f>IF(A205="","",IF(OR(B205="",C205="",D205="",E205="",F205="",G205="",H205="",I205="",J205=""),"Incomplete",IF(OR(I205="Hypothesis",I205="Observed association",I205="Contradictory or unresolved"),"Review required","Ready for qualified review")))</x:f>
      </x:c>
    </x:row>
  </x:sheetData>
  <x:mergeCells>
    <x:mergeCell ref="A1:K1"/>
    <x:mergeCell ref="A2:K2"/>
  </x:mergeCells>
  <x:conditionalFormatting sqref="K6:K2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2">
    <x:dataValidation type="list" sqref="B6:B205">
      <x:formula1>"Official guidance,Controlled study,Manufacturing data,Analytical study,Material / supplier evidence,Deviation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42" hidden="0" customWidth="1"/>
    <x:col min="4" max="4" width="20" hidden="0" customWidth="1"/>
    <x:col min="5" max="5" width="14" hidden="0" customWidth="1"/>
    <x:col min="6" max="6" width="24" hidden="0" customWidth="1"/>
    <x:col min="7" max="7" width="14" hidden="0" customWidth="1"/>
    <x:col min="8" max="8" width="16" hidden="0" customWidth="1"/>
    <x:col min="9" max="9" width="36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disagreements into owned evidence requests, reviews, decisions, and lifecycle commitments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Action ID</x:v>
      </x:c>
      <x:c r="B5" s="56" t="str">
        <x:v>Linked record IDs</x:v>
      </x:c>
      <x:c r="C5" s="56" t="str">
        <x:v>Action / decision</x:v>
      </x:c>
      <x:c r="D5" s="56" t="str">
        <x:v>Type</x:v>
      </x:c>
      <x:c r="E5" s="56" t="str">
        <x:v>Priority</x:v>
      </x:c>
      <x:c r="F5" s="56" t="str">
        <x:v>Owner role</x:v>
      </x:c>
      <x:c r="G5" s="56" t="str">
        <x:v>Due date</x:v>
      </x:c>
      <x:c r="H5" s="56" t="str">
        <x:v>Status</x:v>
      </x:c>
      <x:c r="I5" s="56" t="str">
        <x:v>Closure evidence / decision</x:v>
      </x:c>
      <x:c r="J5" s="57" t="str">
        <x:v>Attention</x:v>
      </x:c>
    </x:row>
    <x:row r="6">
      <x:c r="A6" s="68"/>
      <x:c r="B6" s="68"/>
      <x:c r="C6" s="68"/>
      <x:c r="D6" s="68"/>
      <x:c r="E6" s="68"/>
      <x:c r="F6" s="68"/>
      <x:c r="G6" s="77"/>
      <x:c r="H6" s="68"/>
      <x:c r="I6" s="68"/>
      <x:c r="J6" s="74" t="str">
        <x:f>IF(A6="","",IF(OR(B6="",C6="",D6="",E6="",F6="",G6="",H6=""),"Incomplete",IF(AND(H6&lt;&gt;"Closed",G6&lt;TODAY()),"Overdue",IF(H6="Closed",IF(I6="","Review required","Closed"),"Open"))))</x:f>
      </x:c>
    </x:row>
    <x:row r="7">
      <x:c r="A7" s="69"/>
      <x:c r="B7" s="69"/>
      <x:c r="C7" s="69"/>
      <x:c r="D7" s="69"/>
      <x:c r="E7" s="69"/>
      <x:c r="F7" s="69"/>
      <x:c r="G7" s="78"/>
      <x:c r="H7" s="69"/>
      <x:c r="I7" s="69"/>
      <x:c r="J7" s="75" t="str">
        <x:f>IF(A7="","",IF(OR(B7="",C7="",D7="",E7="",F7="",G7="",H7=""),"Incomplete",IF(AND(H7&lt;&gt;"Closed",G7&lt;TODAY()),"Overdue",IF(H7="Closed",IF(I7="","Review required","Closed"),"Open"))))</x:f>
      </x:c>
    </x:row>
    <x:row r="8">
      <x:c r="A8" s="69"/>
      <x:c r="B8" s="69"/>
      <x:c r="C8" s="69"/>
      <x:c r="D8" s="69"/>
      <x:c r="E8" s="69"/>
      <x:c r="F8" s="69"/>
      <x:c r="G8" s="78"/>
      <x:c r="H8" s="69"/>
      <x:c r="I8" s="69"/>
      <x:c r="J8" s="75" t="str">
        <x:f>IF(A8="","",IF(OR(B8="",C8="",D8="",E8="",F8="",G8="",H8=""),"Incomplete",IF(AND(H8&lt;&gt;"Closed",G8&lt;TODAY()),"Overdue",IF(H8="Closed",IF(I8="","Review required","Closed"),"Open"))))</x:f>
      </x:c>
    </x:row>
    <x:row r="9">
      <x:c r="A9" s="69"/>
      <x:c r="B9" s="69"/>
      <x:c r="C9" s="69"/>
      <x:c r="D9" s="69"/>
      <x:c r="E9" s="69"/>
      <x:c r="F9" s="69"/>
      <x:c r="G9" s="78"/>
      <x:c r="H9" s="69"/>
      <x:c r="I9" s="69"/>
      <x:c r="J9" s="75" t="str">
        <x:f>IF(A9="","",IF(OR(B9="",C9="",D9="",E9="",F9="",G9="",H9=""),"Incomplete",IF(AND(H9&lt;&gt;"Closed",G9&lt;TODAY()),"Overdue",IF(H9="Closed",IF(I9="","Review required","Closed"),"Open"))))</x:f>
      </x:c>
    </x:row>
    <x:row r="10">
      <x:c r="A10" s="69"/>
      <x:c r="B10" s="69"/>
      <x:c r="C10" s="69"/>
      <x:c r="D10" s="69"/>
      <x:c r="E10" s="69"/>
      <x:c r="F10" s="69"/>
      <x:c r="G10" s="78"/>
      <x:c r="H10" s="69"/>
      <x:c r="I10" s="69"/>
      <x:c r="J10" s="75" t="str">
        <x:f>IF(A10="","",IF(OR(B10="",C10="",D10="",E10="",F10="",G10="",H10=""),"Incomplete",IF(AND(H10&lt;&gt;"Closed",G10&lt;TODAY()),"Overdue",IF(H10="Closed",IF(I10="","Review required","Closed"),"Open"))))</x:f>
      </x:c>
    </x:row>
    <x:row r="11">
      <x:c r="A11" s="69"/>
      <x:c r="B11" s="69"/>
      <x:c r="C11" s="69"/>
      <x:c r="D11" s="69"/>
      <x:c r="E11" s="69"/>
      <x:c r="F11" s="69"/>
      <x:c r="G11" s="78"/>
      <x:c r="H11" s="69"/>
      <x:c r="I11" s="69"/>
      <x:c r="J11" s="75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9"/>
      <x:c r="B12" s="69"/>
      <x:c r="C12" s="69"/>
      <x:c r="D12" s="69"/>
      <x:c r="E12" s="69"/>
      <x:c r="F12" s="69"/>
      <x:c r="G12" s="78"/>
      <x:c r="H12" s="69"/>
      <x:c r="I12" s="69"/>
      <x:c r="J12" s="75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9"/>
      <x:c r="B13" s="69"/>
      <x:c r="C13" s="69"/>
      <x:c r="D13" s="69"/>
      <x:c r="E13" s="69"/>
      <x:c r="F13" s="69"/>
      <x:c r="G13" s="78"/>
      <x:c r="H13" s="69"/>
      <x:c r="I13" s="69"/>
      <x:c r="J13" s="75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9"/>
      <x:c r="B14" s="69"/>
      <x:c r="C14" s="69"/>
      <x:c r="D14" s="69"/>
      <x:c r="E14" s="69"/>
      <x:c r="F14" s="69"/>
      <x:c r="G14" s="78"/>
      <x:c r="H14" s="69"/>
      <x:c r="I14" s="69"/>
      <x:c r="J14" s="75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9"/>
      <x:c r="B15" s="69"/>
      <x:c r="C15" s="69"/>
      <x:c r="D15" s="69"/>
      <x:c r="E15" s="69"/>
      <x:c r="F15" s="69"/>
      <x:c r="G15" s="78"/>
      <x:c r="H15" s="69"/>
      <x:c r="I15" s="69"/>
      <x:c r="J15" s="75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9"/>
      <x:c r="B16" s="69"/>
      <x:c r="C16" s="69"/>
      <x:c r="D16" s="69"/>
      <x:c r="E16" s="69"/>
      <x:c r="F16" s="69"/>
      <x:c r="G16" s="78"/>
      <x:c r="H16" s="69"/>
      <x:c r="I16" s="69"/>
      <x:c r="J16" s="75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9"/>
      <x:c r="B17" s="69"/>
      <x:c r="C17" s="69"/>
      <x:c r="D17" s="69"/>
      <x:c r="E17" s="69"/>
      <x:c r="F17" s="69"/>
      <x:c r="G17" s="78"/>
      <x:c r="H17" s="69"/>
      <x:c r="I17" s="69"/>
      <x:c r="J17" s="75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9"/>
      <x:c r="B18" s="69"/>
      <x:c r="C18" s="69"/>
      <x:c r="D18" s="69"/>
      <x:c r="E18" s="69"/>
      <x:c r="F18" s="69"/>
      <x:c r="G18" s="78"/>
      <x:c r="H18" s="69"/>
      <x:c r="I18" s="69"/>
      <x:c r="J18" s="75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9"/>
      <x:c r="B19" s="69"/>
      <x:c r="C19" s="69"/>
      <x:c r="D19" s="69"/>
      <x:c r="E19" s="69"/>
      <x:c r="F19" s="69"/>
      <x:c r="G19" s="78"/>
      <x:c r="H19" s="69"/>
      <x:c r="I19" s="69"/>
      <x:c r="J19" s="75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9"/>
      <x:c r="B20" s="69"/>
      <x:c r="C20" s="69"/>
      <x:c r="D20" s="69"/>
      <x:c r="E20" s="69"/>
      <x:c r="F20" s="69"/>
      <x:c r="G20" s="78"/>
      <x:c r="H20" s="69"/>
      <x:c r="I20" s="69"/>
      <x:c r="J20" s="75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9"/>
      <x:c r="B21" s="69"/>
      <x:c r="C21" s="69"/>
      <x:c r="D21" s="69"/>
      <x:c r="E21" s="69"/>
      <x:c r="F21" s="69"/>
      <x:c r="G21" s="78"/>
      <x:c r="H21" s="69"/>
      <x:c r="I21" s="69"/>
      <x:c r="J21" s="75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9"/>
      <x:c r="B22" s="69"/>
      <x:c r="C22" s="69"/>
      <x:c r="D22" s="69"/>
      <x:c r="E22" s="69"/>
      <x:c r="F22" s="69"/>
      <x:c r="G22" s="78"/>
      <x:c r="H22" s="69"/>
      <x:c r="I22" s="69"/>
      <x:c r="J22" s="75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9"/>
      <x:c r="B23" s="69"/>
      <x:c r="C23" s="69"/>
      <x:c r="D23" s="69"/>
      <x:c r="E23" s="69"/>
      <x:c r="F23" s="69"/>
      <x:c r="G23" s="78"/>
      <x:c r="H23" s="69"/>
      <x:c r="I23" s="69"/>
      <x:c r="J23" s="75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9"/>
      <x:c r="B24" s="69"/>
      <x:c r="C24" s="69"/>
      <x:c r="D24" s="69"/>
      <x:c r="E24" s="69"/>
      <x:c r="F24" s="69"/>
      <x:c r="G24" s="78"/>
      <x:c r="H24" s="69"/>
      <x:c r="I24" s="69"/>
      <x:c r="J24" s="75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9"/>
      <x:c r="B25" s="69"/>
      <x:c r="C25" s="69"/>
      <x:c r="D25" s="69"/>
      <x:c r="E25" s="69"/>
      <x:c r="F25" s="69"/>
      <x:c r="G25" s="78"/>
      <x:c r="H25" s="69"/>
      <x:c r="I25" s="69"/>
      <x:c r="J25" s="75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9"/>
      <x:c r="B26" s="69"/>
      <x:c r="C26" s="69"/>
      <x:c r="D26" s="69"/>
      <x:c r="E26" s="69"/>
      <x:c r="F26" s="69"/>
      <x:c r="G26" s="78"/>
      <x:c r="H26" s="69"/>
      <x:c r="I26" s="69"/>
      <x:c r="J26" s="75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9"/>
      <x:c r="B27" s="69"/>
      <x:c r="C27" s="69"/>
      <x:c r="D27" s="69"/>
      <x:c r="E27" s="69"/>
      <x:c r="F27" s="69"/>
      <x:c r="G27" s="78"/>
      <x:c r="H27" s="69"/>
      <x:c r="I27" s="69"/>
      <x:c r="J27" s="75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9"/>
      <x:c r="B28" s="69"/>
      <x:c r="C28" s="69"/>
      <x:c r="D28" s="69"/>
      <x:c r="E28" s="69"/>
      <x:c r="F28" s="69"/>
      <x:c r="G28" s="78"/>
      <x:c r="H28" s="69"/>
      <x:c r="I28" s="69"/>
      <x:c r="J28" s="75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9"/>
      <x:c r="B29" s="69"/>
      <x:c r="C29" s="69"/>
      <x:c r="D29" s="69"/>
      <x:c r="E29" s="69"/>
      <x:c r="F29" s="69"/>
      <x:c r="G29" s="78"/>
      <x:c r="H29" s="69"/>
      <x:c r="I29" s="69"/>
      <x:c r="J29" s="75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9"/>
      <x:c r="B30" s="69"/>
      <x:c r="C30" s="69"/>
      <x:c r="D30" s="69"/>
      <x:c r="E30" s="69"/>
      <x:c r="F30" s="69"/>
      <x:c r="G30" s="78"/>
      <x:c r="H30" s="69"/>
      <x:c r="I30" s="69"/>
      <x:c r="J30" s="75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9"/>
      <x:c r="B31" s="69"/>
      <x:c r="C31" s="69"/>
      <x:c r="D31" s="69"/>
      <x:c r="E31" s="69"/>
      <x:c r="F31" s="69"/>
      <x:c r="G31" s="78"/>
      <x:c r="H31" s="69"/>
      <x:c r="I31" s="69"/>
      <x:c r="J31" s="75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9"/>
      <x:c r="B32" s="69"/>
      <x:c r="C32" s="69"/>
      <x:c r="D32" s="69"/>
      <x:c r="E32" s="69"/>
      <x:c r="F32" s="69"/>
      <x:c r="G32" s="78"/>
      <x:c r="H32" s="69"/>
      <x:c r="I32" s="69"/>
      <x:c r="J32" s="75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9"/>
      <x:c r="B33" s="69"/>
      <x:c r="C33" s="69"/>
      <x:c r="D33" s="69"/>
      <x:c r="E33" s="69"/>
      <x:c r="F33" s="69"/>
      <x:c r="G33" s="78"/>
      <x:c r="H33" s="69"/>
      <x:c r="I33" s="69"/>
      <x:c r="J33" s="75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9"/>
      <x:c r="B34" s="69"/>
      <x:c r="C34" s="69"/>
      <x:c r="D34" s="69"/>
      <x:c r="E34" s="69"/>
      <x:c r="F34" s="69"/>
      <x:c r="G34" s="78"/>
      <x:c r="H34" s="69"/>
      <x:c r="I34" s="69"/>
      <x:c r="J34" s="75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9"/>
      <x:c r="B35" s="69"/>
      <x:c r="C35" s="69"/>
      <x:c r="D35" s="69"/>
      <x:c r="E35" s="69"/>
      <x:c r="F35" s="69"/>
      <x:c r="G35" s="78"/>
      <x:c r="H35" s="69"/>
      <x:c r="I35" s="69"/>
      <x:c r="J35" s="75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9"/>
      <x:c r="B36" s="69"/>
      <x:c r="C36" s="69"/>
      <x:c r="D36" s="69"/>
      <x:c r="E36" s="69"/>
      <x:c r="F36" s="69"/>
      <x:c r="G36" s="78"/>
      <x:c r="H36" s="69"/>
      <x:c r="I36" s="69"/>
      <x:c r="J36" s="75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9"/>
      <x:c r="B37" s="69"/>
      <x:c r="C37" s="69"/>
      <x:c r="D37" s="69"/>
      <x:c r="E37" s="69"/>
      <x:c r="F37" s="69"/>
      <x:c r="G37" s="78"/>
      <x:c r="H37" s="69"/>
      <x:c r="I37" s="69"/>
      <x:c r="J37" s="75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9"/>
      <x:c r="B38" s="69"/>
      <x:c r="C38" s="69"/>
      <x:c r="D38" s="69"/>
      <x:c r="E38" s="69"/>
      <x:c r="F38" s="69"/>
      <x:c r="G38" s="78"/>
      <x:c r="H38" s="69"/>
      <x:c r="I38" s="69"/>
      <x:c r="J38" s="75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9"/>
      <x:c r="B39" s="69"/>
      <x:c r="C39" s="69"/>
      <x:c r="D39" s="69"/>
      <x:c r="E39" s="69"/>
      <x:c r="F39" s="69"/>
      <x:c r="G39" s="78"/>
      <x:c r="H39" s="69"/>
      <x:c r="I39" s="69"/>
      <x:c r="J39" s="75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9"/>
      <x:c r="B40" s="69"/>
      <x:c r="C40" s="69"/>
      <x:c r="D40" s="69"/>
      <x:c r="E40" s="69"/>
      <x:c r="F40" s="69"/>
      <x:c r="G40" s="78"/>
      <x:c r="H40" s="69"/>
      <x:c r="I40" s="69"/>
      <x:c r="J40" s="75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9"/>
      <x:c r="B41" s="69"/>
      <x:c r="C41" s="69"/>
      <x:c r="D41" s="69"/>
      <x:c r="E41" s="69"/>
      <x:c r="F41" s="69"/>
      <x:c r="G41" s="78"/>
      <x:c r="H41" s="69"/>
      <x:c r="I41" s="69"/>
      <x:c r="J41" s="75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9"/>
      <x:c r="B42" s="69"/>
      <x:c r="C42" s="69"/>
      <x:c r="D42" s="69"/>
      <x:c r="E42" s="69"/>
      <x:c r="F42" s="69"/>
      <x:c r="G42" s="78"/>
      <x:c r="H42" s="69"/>
      <x:c r="I42" s="69"/>
      <x:c r="J42" s="75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9"/>
      <x:c r="B43" s="69"/>
      <x:c r="C43" s="69"/>
      <x:c r="D43" s="69"/>
      <x:c r="E43" s="69"/>
      <x:c r="F43" s="69"/>
      <x:c r="G43" s="78"/>
      <x:c r="H43" s="69"/>
      <x:c r="I43" s="69"/>
      <x:c r="J43" s="75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9"/>
      <x:c r="B44" s="69"/>
      <x:c r="C44" s="69"/>
      <x:c r="D44" s="69"/>
      <x:c r="E44" s="69"/>
      <x:c r="F44" s="69"/>
      <x:c r="G44" s="78"/>
      <x:c r="H44" s="69"/>
      <x:c r="I44" s="69"/>
      <x:c r="J44" s="75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9"/>
      <x:c r="B45" s="69"/>
      <x:c r="C45" s="69"/>
      <x:c r="D45" s="69"/>
      <x:c r="E45" s="69"/>
      <x:c r="F45" s="69"/>
      <x:c r="G45" s="78"/>
      <x:c r="H45" s="69"/>
      <x:c r="I45" s="69"/>
      <x:c r="J45" s="75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9"/>
      <x:c r="B46" s="69"/>
      <x:c r="C46" s="69"/>
      <x:c r="D46" s="69"/>
      <x:c r="E46" s="69"/>
      <x:c r="F46" s="69"/>
      <x:c r="G46" s="78"/>
      <x:c r="H46" s="69"/>
      <x:c r="I46" s="69"/>
      <x:c r="J46" s="75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9"/>
      <x:c r="B47" s="69"/>
      <x:c r="C47" s="69"/>
      <x:c r="D47" s="69"/>
      <x:c r="E47" s="69"/>
      <x:c r="F47" s="69"/>
      <x:c r="G47" s="78"/>
      <x:c r="H47" s="69"/>
      <x:c r="I47" s="69"/>
      <x:c r="J47" s="75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9"/>
      <x:c r="B48" s="69"/>
      <x:c r="C48" s="69"/>
      <x:c r="D48" s="69"/>
      <x:c r="E48" s="69"/>
      <x:c r="F48" s="69"/>
      <x:c r="G48" s="78"/>
      <x:c r="H48" s="69"/>
      <x:c r="I48" s="69"/>
      <x:c r="J48" s="75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9"/>
      <x:c r="B49" s="69"/>
      <x:c r="C49" s="69"/>
      <x:c r="D49" s="69"/>
      <x:c r="E49" s="69"/>
      <x:c r="F49" s="69"/>
      <x:c r="G49" s="78"/>
      <x:c r="H49" s="69"/>
      <x:c r="I49" s="69"/>
      <x:c r="J49" s="75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9"/>
      <x:c r="B50" s="69"/>
      <x:c r="C50" s="69"/>
      <x:c r="D50" s="69"/>
      <x:c r="E50" s="69"/>
      <x:c r="F50" s="69"/>
      <x:c r="G50" s="78"/>
      <x:c r="H50" s="69"/>
      <x:c r="I50" s="69"/>
      <x:c r="J50" s="75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9"/>
      <x:c r="B51" s="69"/>
      <x:c r="C51" s="69"/>
      <x:c r="D51" s="69"/>
      <x:c r="E51" s="69"/>
      <x:c r="F51" s="69"/>
      <x:c r="G51" s="78"/>
      <x:c r="H51" s="69"/>
      <x:c r="I51" s="69"/>
      <x:c r="J51" s="75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9"/>
      <x:c r="B52" s="69"/>
      <x:c r="C52" s="69"/>
      <x:c r="D52" s="69"/>
      <x:c r="E52" s="69"/>
      <x:c r="F52" s="69"/>
      <x:c r="G52" s="78"/>
      <x:c r="H52" s="69"/>
      <x:c r="I52" s="69"/>
      <x:c r="J52" s="75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9"/>
      <x:c r="B53" s="69"/>
      <x:c r="C53" s="69"/>
      <x:c r="D53" s="69"/>
      <x:c r="E53" s="69"/>
      <x:c r="F53" s="69"/>
      <x:c r="G53" s="78"/>
      <x:c r="H53" s="69"/>
      <x:c r="I53" s="69"/>
      <x:c r="J53" s="75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9"/>
      <x:c r="B54" s="69"/>
      <x:c r="C54" s="69"/>
      <x:c r="D54" s="69"/>
      <x:c r="E54" s="69"/>
      <x:c r="F54" s="69"/>
      <x:c r="G54" s="78"/>
      <x:c r="H54" s="69"/>
      <x:c r="I54" s="69"/>
      <x:c r="J54" s="75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9"/>
      <x:c r="B55" s="69"/>
      <x:c r="C55" s="69"/>
      <x:c r="D55" s="69"/>
      <x:c r="E55" s="69"/>
      <x:c r="F55" s="69"/>
      <x:c r="G55" s="78"/>
      <x:c r="H55" s="69"/>
      <x:c r="I55" s="69"/>
      <x:c r="J55" s="75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9"/>
      <x:c r="B56" s="69"/>
      <x:c r="C56" s="69"/>
      <x:c r="D56" s="69"/>
      <x:c r="E56" s="69"/>
      <x:c r="F56" s="69"/>
      <x:c r="G56" s="78"/>
      <x:c r="H56" s="69"/>
      <x:c r="I56" s="69"/>
      <x:c r="J56" s="75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9"/>
      <x:c r="B57" s="69"/>
      <x:c r="C57" s="69"/>
      <x:c r="D57" s="69"/>
      <x:c r="E57" s="69"/>
      <x:c r="F57" s="69"/>
      <x:c r="G57" s="78"/>
      <x:c r="H57" s="69"/>
      <x:c r="I57" s="69"/>
      <x:c r="J57" s="75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9"/>
      <x:c r="B58" s="69"/>
      <x:c r="C58" s="69"/>
      <x:c r="D58" s="69"/>
      <x:c r="E58" s="69"/>
      <x:c r="F58" s="69"/>
      <x:c r="G58" s="78"/>
      <x:c r="H58" s="69"/>
      <x:c r="I58" s="69"/>
      <x:c r="J58" s="75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9"/>
      <x:c r="B59" s="69"/>
      <x:c r="C59" s="69"/>
      <x:c r="D59" s="69"/>
      <x:c r="E59" s="69"/>
      <x:c r="F59" s="69"/>
      <x:c r="G59" s="78"/>
      <x:c r="H59" s="69"/>
      <x:c r="I59" s="69"/>
      <x:c r="J59" s="75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9"/>
      <x:c r="B60" s="69"/>
      <x:c r="C60" s="69"/>
      <x:c r="D60" s="69"/>
      <x:c r="E60" s="69"/>
      <x:c r="F60" s="69"/>
      <x:c r="G60" s="78"/>
      <x:c r="H60" s="69"/>
      <x:c r="I60" s="69"/>
      <x:c r="J60" s="75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9"/>
      <x:c r="B61" s="69"/>
      <x:c r="C61" s="69"/>
      <x:c r="D61" s="69"/>
      <x:c r="E61" s="69"/>
      <x:c r="F61" s="69"/>
      <x:c r="G61" s="78"/>
      <x:c r="H61" s="69"/>
      <x:c r="I61" s="69"/>
      <x:c r="J61" s="75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9"/>
      <x:c r="B62" s="69"/>
      <x:c r="C62" s="69"/>
      <x:c r="D62" s="69"/>
      <x:c r="E62" s="69"/>
      <x:c r="F62" s="69"/>
      <x:c r="G62" s="78"/>
      <x:c r="H62" s="69"/>
      <x:c r="I62" s="69"/>
      <x:c r="J62" s="75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9"/>
      <x:c r="B63" s="69"/>
      <x:c r="C63" s="69"/>
      <x:c r="D63" s="69"/>
      <x:c r="E63" s="69"/>
      <x:c r="F63" s="69"/>
      <x:c r="G63" s="78"/>
      <x:c r="H63" s="69"/>
      <x:c r="I63" s="69"/>
      <x:c r="J63" s="75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9"/>
      <x:c r="B64" s="69"/>
      <x:c r="C64" s="69"/>
      <x:c r="D64" s="69"/>
      <x:c r="E64" s="69"/>
      <x:c r="F64" s="69"/>
      <x:c r="G64" s="78"/>
      <x:c r="H64" s="69"/>
      <x:c r="I64" s="69"/>
      <x:c r="J64" s="75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9"/>
      <x:c r="B65" s="69"/>
      <x:c r="C65" s="69"/>
      <x:c r="D65" s="69"/>
      <x:c r="E65" s="69"/>
      <x:c r="F65" s="69"/>
      <x:c r="G65" s="78"/>
      <x:c r="H65" s="69"/>
      <x:c r="I65" s="69"/>
      <x:c r="J65" s="75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9"/>
      <x:c r="B66" s="69"/>
      <x:c r="C66" s="69"/>
      <x:c r="D66" s="69"/>
      <x:c r="E66" s="69"/>
      <x:c r="F66" s="69"/>
      <x:c r="G66" s="78"/>
      <x:c r="H66" s="69"/>
      <x:c r="I66" s="69"/>
      <x:c r="J66" s="75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9"/>
      <x:c r="B67" s="69"/>
      <x:c r="C67" s="69"/>
      <x:c r="D67" s="69"/>
      <x:c r="E67" s="69"/>
      <x:c r="F67" s="69"/>
      <x:c r="G67" s="78"/>
      <x:c r="H67" s="69"/>
      <x:c r="I67" s="69"/>
      <x:c r="J67" s="75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9"/>
      <x:c r="B68" s="69"/>
      <x:c r="C68" s="69"/>
      <x:c r="D68" s="69"/>
      <x:c r="E68" s="69"/>
      <x:c r="F68" s="69"/>
      <x:c r="G68" s="78"/>
      <x:c r="H68" s="69"/>
      <x:c r="I68" s="69"/>
      <x:c r="J68" s="75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9"/>
      <x:c r="B69" s="69"/>
      <x:c r="C69" s="69"/>
      <x:c r="D69" s="69"/>
      <x:c r="E69" s="69"/>
      <x:c r="F69" s="69"/>
      <x:c r="G69" s="78"/>
      <x:c r="H69" s="69"/>
      <x:c r="I69" s="69"/>
      <x:c r="J69" s="75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9"/>
      <x:c r="B70" s="69"/>
      <x:c r="C70" s="69"/>
      <x:c r="D70" s="69"/>
      <x:c r="E70" s="69"/>
      <x:c r="F70" s="69"/>
      <x:c r="G70" s="78"/>
      <x:c r="H70" s="69"/>
      <x:c r="I70" s="69"/>
      <x:c r="J70" s="75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9"/>
      <x:c r="B71" s="69"/>
      <x:c r="C71" s="69"/>
      <x:c r="D71" s="69"/>
      <x:c r="E71" s="69"/>
      <x:c r="F71" s="69"/>
      <x:c r="G71" s="78"/>
      <x:c r="H71" s="69"/>
      <x:c r="I71" s="69"/>
      <x:c r="J71" s="75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9"/>
      <x:c r="B72" s="69"/>
      <x:c r="C72" s="69"/>
      <x:c r="D72" s="69"/>
      <x:c r="E72" s="69"/>
      <x:c r="F72" s="69"/>
      <x:c r="G72" s="78"/>
      <x:c r="H72" s="69"/>
      <x:c r="I72" s="69"/>
      <x:c r="J72" s="75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9"/>
      <x:c r="B73" s="69"/>
      <x:c r="C73" s="69"/>
      <x:c r="D73" s="69"/>
      <x:c r="E73" s="69"/>
      <x:c r="F73" s="69"/>
      <x:c r="G73" s="78"/>
      <x:c r="H73" s="69"/>
      <x:c r="I73" s="69"/>
      <x:c r="J73" s="75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9"/>
      <x:c r="B74" s="69"/>
      <x:c r="C74" s="69"/>
      <x:c r="D74" s="69"/>
      <x:c r="E74" s="69"/>
      <x:c r="F74" s="69"/>
      <x:c r="G74" s="78"/>
      <x:c r="H74" s="69"/>
      <x:c r="I74" s="69"/>
      <x:c r="J74" s="75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9"/>
      <x:c r="B75" s="69"/>
      <x:c r="C75" s="69"/>
      <x:c r="D75" s="69"/>
      <x:c r="E75" s="69"/>
      <x:c r="F75" s="69"/>
      <x:c r="G75" s="78"/>
      <x:c r="H75" s="69"/>
      <x:c r="I75" s="69"/>
      <x:c r="J75" s="75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9"/>
      <x:c r="B76" s="69"/>
      <x:c r="C76" s="69"/>
      <x:c r="D76" s="69"/>
      <x:c r="E76" s="69"/>
      <x:c r="F76" s="69"/>
      <x:c r="G76" s="78"/>
      <x:c r="H76" s="69"/>
      <x:c r="I76" s="69"/>
      <x:c r="J76" s="75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9"/>
      <x:c r="B77" s="69"/>
      <x:c r="C77" s="69"/>
      <x:c r="D77" s="69"/>
      <x:c r="E77" s="69"/>
      <x:c r="F77" s="69"/>
      <x:c r="G77" s="78"/>
      <x:c r="H77" s="69"/>
      <x:c r="I77" s="69"/>
      <x:c r="J77" s="75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9"/>
      <x:c r="B78" s="69"/>
      <x:c r="C78" s="69"/>
      <x:c r="D78" s="69"/>
      <x:c r="E78" s="69"/>
      <x:c r="F78" s="69"/>
      <x:c r="G78" s="78"/>
      <x:c r="H78" s="69"/>
      <x:c r="I78" s="69"/>
      <x:c r="J78" s="75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9"/>
      <x:c r="B79" s="69"/>
      <x:c r="C79" s="69"/>
      <x:c r="D79" s="69"/>
      <x:c r="E79" s="69"/>
      <x:c r="F79" s="69"/>
      <x:c r="G79" s="78"/>
      <x:c r="H79" s="69"/>
      <x:c r="I79" s="69"/>
      <x:c r="J79" s="75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9"/>
      <x:c r="B80" s="69"/>
      <x:c r="C80" s="69"/>
      <x:c r="D80" s="69"/>
      <x:c r="E80" s="69"/>
      <x:c r="F80" s="69"/>
      <x:c r="G80" s="78"/>
      <x:c r="H80" s="69"/>
      <x:c r="I80" s="69"/>
      <x:c r="J80" s="75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9"/>
      <x:c r="B81" s="69"/>
      <x:c r="C81" s="69"/>
      <x:c r="D81" s="69"/>
      <x:c r="E81" s="69"/>
      <x:c r="F81" s="69"/>
      <x:c r="G81" s="78"/>
      <x:c r="H81" s="69"/>
      <x:c r="I81" s="69"/>
      <x:c r="J81" s="75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9"/>
      <x:c r="B82" s="69"/>
      <x:c r="C82" s="69"/>
      <x:c r="D82" s="69"/>
      <x:c r="E82" s="69"/>
      <x:c r="F82" s="69"/>
      <x:c r="G82" s="78"/>
      <x:c r="H82" s="69"/>
      <x:c r="I82" s="69"/>
      <x:c r="J82" s="75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9"/>
      <x:c r="B83" s="69"/>
      <x:c r="C83" s="69"/>
      <x:c r="D83" s="69"/>
      <x:c r="E83" s="69"/>
      <x:c r="F83" s="69"/>
      <x:c r="G83" s="78"/>
      <x:c r="H83" s="69"/>
      <x:c r="I83" s="69"/>
      <x:c r="J83" s="75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9"/>
      <x:c r="B84" s="69"/>
      <x:c r="C84" s="69"/>
      <x:c r="D84" s="69"/>
      <x:c r="E84" s="69"/>
      <x:c r="F84" s="69"/>
      <x:c r="G84" s="78"/>
      <x:c r="H84" s="69"/>
      <x:c r="I84" s="69"/>
      <x:c r="J84" s="75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9"/>
      <x:c r="B85" s="69"/>
      <x:c r="C85" s="69"/>
      <x:c r="D85" s="69"/>
      <x:c r="E85" s="69"/>
      <x:c r="F85" s="69"/>
      <x:c r="G85" s="78"/>
      <x:c r="H85" s="69"/>
      <x:c r="I85" s="69"/>
      <x:c r="J85" s="75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9"/>
      <x:c r="B86" s="69"/>
      <x:c r="C86" s="69"/>
      <x:c r="D86" s="69"/>
      <x:c r="E86" s="69"/>
      <x:c r="F86" s="69"/>
      <x:c r="G86" s="78"/>
      <x:c r="H86" s="69"/>
      <x:c r="I86" s="69"/>
      <x:c r="J86" s="75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9"/>
      <x:c r="B87" s="69"/>
      <x:c r="C87" s="69"/>
      <x:c r="D87" s="69"/>
      <x:c r="E87" s="69"/>
      <x:c r="F87" s="69"/>
      <x:c r="G87" s="78"/>
      <x:c r="H87" s="69"/>
      <x:c r="I87" s="69"/>
      <x:c r="J87" s="75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9"/>
      <x:c r="B88" s="69"/>
      <x:c r="C88" s="69"/>
      <x:c r="D88" s="69"/>
      <x:c r="E88" s="69"/>
      <x:c r="F88" s="69"/>
      <x:c r="G88" s="78"/>
      <x:c r="H88" s="69"/>
      <x:c r="I88" s="69"/>
      <x:c r="J88" s="75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9"/>
      <x:c r="B89" s="69"/>
      <x:c r="C89" s="69"/>
      <x:c r="D89" s="69"/>
      <x:c r="E89" s="69"/>
      <x:c r="F89" s="69"/>
      <x:c r="G89" s="78"/>
      <x:c r="H89" s="69"/>
      <x:c r="I89" s="69"/>
      <x:c r="J89" s="75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9"/>
      <x:c r="B90" s="69"/>
      <x:c r="C90" s="69"/>
      <x:c r="D90" s="69"/>
      <x:c r="E90" s="69"/>
      <x:c r="F90" s="69"/>
      <x:c r="G90" s="78"/>
      <x:c r="H90" s="69"/>
      <x:c r="I90" s="69"/>
      <x:c r="J90" s="75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9"/>
      <x:c r="B91" s="69"/>
      <x:c r="C91" s="69"/>
      <x:c r="D91" s="69"/>
      <x:c r="E91" s="69"/>
      <x:c r="F91" s="69"/>
      <x:c r="G91" s="78"/>
      <x:c r="H91" s="69"/>
      <x:c r="I91" s="69"/>
      <x:c r="J91" s="75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9"/>
      <x:c r="B92" s="69"/>
      <x:c r="C92" s="69"/>
      <x:c r="D92" s="69"/>
      <x:c r="E92" s="69"/>
      <x:c r="F92" s="69"/>
      <x:c r="G92" s="78"/>
      <x:c r="H92" s="69"/>
      <x:c r="I92" s="69"/>
      <x:c r="J92" s="75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9"/>
      <x:c r="B93" s="69"/>
      <x:c r="C93" s="69"/>
      <x:c r="D93" s="69"/>
      <x:c r="E93" s="69"/>
      <x:c r="F93" s="69"/>
      <x:c r="G93" s="78"/>
      <x:c r="H93" s="69"/>
      <x:c r="I93" s="69"/>
      <x:c r="J93" s="75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9"/>
      <x:c r="B94" s="69"/>
      <x:c r="C94" s="69"/>
      <x:c r="D94" s="69"/>
      <x:c r="E94" s="69"/>
      <x:c r="F94" s="69"/>
      <x:c r="G94" s="78"/>
      <x:c r="H94" s="69"/>
      <x:c r="I94" s="69"/>
      <x:c r="J94" s="75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9"/>
      <x:c r="B95" s="69"/>
      <x:c r="C95" s="69"/>
      <x:c r="D95" s="69"/>
      <x:c r="E95" s="69"/>
      <x:c r="F95" s="69"/>
      <x:c r="G95" s="78"/>
      <x:c r="H95" s="69"/>
      <x:c r="I95" s="69"/>
      <x:c r="J95" s="75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9"/>
      <x:c r="B96" s="69"/>
      <x:c r="C96" s="69"/>
      <x:c r="D96" s="69"/>
      <x:c r="E96" s="69"/>
      <x:c r="F96" s="69"/>
      <x:c r="G96" s="78"/>
      <x:c r="H96" s="69"/>
      <x:c r="I96" s="69"/>
      <x:c r="J96" s="75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9"/>
      <x:c r="B97" s="69"/>
      <x:c r="C97" s="69"/>
      <x:c r="D97" s="69"/>
      <x:c r="E97" s="69"/>
      <x:c r="F97" s="69"/>
      <x:c r="G97" s="78"/>
      <x:c r="H97" s="69"/>
      <x:c r="I97" s="69"/>
      <x:c r="J97" s="75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9"/>
      <x:c r="B98" s="69"/>
      <x:c r="C98" s="69"/>
      <x:c r="D98" s="69"/>
      <x:c r="E98" s="69"/>
      <x:c r="F98" s="69"/>
      <x:c r="G98" s="78"/>
      <x:c r="H98" s="69"/>
      <x:c r="I98" s="69"/>
      <x:c r="J98" s="75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9"/>
      <x:c r="B99" s="69"/>
      <x:c r="C99" s="69"/>
      <x:c r="D99" s="69"/>
      <x:c r="E99" s="69"/>
      <x:c r="F99" s="69"/>
      <x:c r="G99" s="78"/>
      <x:c r="H99" s="69"/>
      <x:c r="I99" s="69"/>
      <x:c r="J99" s="75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9"/>
      <x:c r="B100" s="69"/>
      <x:c r="C100" s="69"/>
      <x:c r="D100" s="69"/>
      <x:c r="E100" s="69"/>
      <x:c r="F100" s="69"/>
      <x:c r="G100" s="78"/>
      <x:c r="H100" s="69"/>
      <x:c r="I100" s="69"/>
      <x:c r="J100" s="75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9"/>
      <x:c r="B101" s="69"/>
      <x:c r="C101" s="69"/>
      <x:c r="D101" s="69"/>
      <x:c r="E101" s="69"/>
      <x:c r="F101" s="69"/>
      <x:c r="G101" s="78"/>
      <x:c r="H101" s="69"/>
      <x:c r="I101" s="69"/>
      <x:c r="J101" s="75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9"/>
      <x:c r="B102" s="69"/>
      <x:c r="C102" s="69"/>
      <x:c r="D102" s="69"/>
      <x:c r="E102" s="69"/>
      <x:c r="F102" s="69"/>
      <x:c r="G102" s="78"/>
      <x:c r="H102" s="69"/>
      <x:c r="I102" s="69"/>
      <x:c r="J102" s="75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9"/>
      <x:c r="B103" s="69"/>
      <x:c r="C103" s="69"/>
      <x:c r="D103" s="69"/>
      <x:c r="E103" s="69"/>
      <x:c r="F103" s="69"/>
      <x:c r="G103" s="78"/>
      <x:c r="H103" s="69"/>
      <x:c r="I103" s="69"/>
      <x:c r="J103" s="75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9"/>
      <x:c r="B104" s="69"/>
      <x:c r="C104" s="69"/>
      <x:c r="D104" s="69"/>
      <x:c r="E104" s="69"/>
      <x:c r="F104" s="69"/>
      <x:c r="G104" s="78"/>
      <x:c r="H104" s="69"/>
      <x:c r="I104" s="69"/>
      <x:c r="J104" s="75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70"/>
      <x:c r="B105" s="70"/>
      <x:c r="C105" s="70"/>
      <x:c r="D105" s="70"/>
      <x:c r="E105" s="70"/>
      <x:c r="F105" s="70"/>
      <x:c r="G105" s="79"/>
      <x:c r="H105" s="70"/>
      <x:c r="I105" s="70"/>
      <x:c r="J105" s="76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D6:D105">
      <x:formula1>"Evidence request,Study,Review,Control change,Monitoring,Comparability,Escalation,Decision"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26" hidden="0" customWidth="1"/>
    <x:col min="5" max="5" width="54" hidden="0" customWidth="1"/>
    <x:col min="6" max="6" width="34" hidden="0" customWidth="1"/>
    <x:col min="7" max="7" width="40" hidden="0" customWidth="1"/>
    <x:col min="8" max="8" width="28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limitations, review roles, and document-control boundary</x:v>
      </x:c>
      <x:c r="B2" s="7"/>
      <x:c r="C2" s="7"/>
      <x:c r="D2" s="7"/>
      <x:c r="E2" s="7"/>
      <x:c r="F2" s="7"/>
      <x:c r="G2" s="7"/>
      <x:c r="H2" s="7"/>
    </x:row>
    <x:row r="4">
      <x:c r="A4" s="26" t="str">
        <x:v>Package version</x:v>
      </x:c>
      <x:c r="B4" s="89" t="str">
        <x:v>1.0.0-review</x:v>
      </x:c>
      <x:c r="C4" s="90"/>
      <x:c r="D4" s="90"/>
      <x:c r="E4" s="90"/>
      <x:c r="F4" s="90"/>
      <x:c r="G4" s="90"/>
      <x:c r="H4" s="91"/>
    </x:row>
    <x:row r="5">
      <x:c r="A5" s="26" t="str">
        <x:v>Review status</x:v>
      </x:c>
      <x:c r="B5" s="92" t="str">
        <x:v>Under review</x:v>
      </x:c>
      <x:c r="C5" s="93"/>
      <x:c r="D5" s="93"/>
      <x:c r="E5" s="93"/>
      <x:c r="F5" s="93"/>
      <x:c r="G5" s="93"/>
      <x:c r="H5" s="94"/>
    </x:row>
    <x:row r="6">
      <x:c r="A6" s="26" t="str">
        <x:v>Applicability and limitations</x:v>
      </x:c>
      <x:c r="B6" s="92" t="str">
        <x:v>Cell-culture-derived, well-characterized proteins/polypeptides within the cited source scope; advanced modalities and product-specific decisions require separate evidence.</x:v>
      </x:c>
      <x:c r="C6" s="93"/>
      <x:c r="D6" s="93"/>
      <x:c r="E6" s="93"/>
      <x:c r="F6" s="93"/>
      <x:c r="G6" s="93"/>
      <x:c r="H6" s="94"/>
    </x:row>
    <x:row r="7">
      <x:c r="A7" s="26" t="str">
        <x:v>Reviewed by role</x:v>
      </x:c>
      <x:c r="B7" s="92" t="str">
        <x:v>Pending: upstream process development/MSAT, analytical/product quality, raw-material or cell-line owner where applicable, quality/change control, regulatory CMC.</x:v>
      </x:c>
      <x:c r="C7" s="93"/>
      <x:c r="D7" s="93"/>
      <x:c r="E7" s="93"/>
      <x:c r="F7" s="93"/>
      <x:c r="G7" s="93"/>
      <x:c r="H7" s="94"/>
    </x:row>
    <x:row r="8">
      <x:c r="A8" s="26" t="str">
        <x:v>Controlled-use boundary</x:v>
      </x:c>
      <x:c r="B8" s="92" t="str">
        <x:v>This workbook is not a controlled site record, PPQ protocol, validation report, regulatory filing, or batch-disposition system.</x:v>
      </x:c>
      <x:c r="C8" s="93"/>
      <x:c r="D8" s="93"/>
      <x:c r="E8" s="93"/>
      <x:c r="F8" s="93"/>
      <x:c r="G8" s="93"/>
      <x:c r="H8" s="94"/>
    </x:row>
    <x:row r="9">
      <x:c r="A9" s="26" t="str">
        <x:v>Numeric range policy</x:v>
      </x:c>
      <x:c r="B9" s="95" t="str">
        <x:v>No generic numeric range or criterion is supplied. Record only a controlled product/site reference or Evidence required.</x:v>
      </x:c>
      <x:c r="C9" s="96"/>
      <x:c r="D9" s="96"/>
      <x:c r="E9" s="96"/>
      <x:c r="F9" s="96"/>
      <x:c r="G9" s="96"/>
      <x:c r="H9" s="97"/>
    </x:row>
    <x:row r="11" ht="34" customHeight="1">
      <x:c r="A11" s="55" t="str">
        <x:v>Source ID</x:v>
      </x:c>
      <x:c r="B11" s="56" t="str">
        <x:v>Publisher</x:v>
      </x:c>
      <x:c r="C11" s="56" t="str">
        <x:v>Title</x:v>
      </x:c>
      <x:c r="D11" s="56" t="str">
        <x:v>Edition</x:v>
      </x:c>
      <x:c r="E11" s="56" t="str">
        <x:v>URL</x:v>
      </x:c>
      <x:c r="F11" s="56" t="str">
        <x:v>Decision use</x:v>
      </x:c>
      <x:c r="G11" s="56" t="str">
        <x:v>Licensing / scope boundary</x:v>
      </x:c>
      <x:c r="H11" s="57" t="str">
        <x:v>Lifecycle status</x:v>
      </x:c>
    </x:row>
    <x:row r="12">
      <x:c r="A12" s="98" t="str">
        <x:v>ICH-Q8-R2</x:v>
      </x:c>
      <x:c r="B12" s="98" t="str">
        <x:v>International Council for Harmonisation</x:v>
      </x:c>
      <x:c r="C12" s="98" t="str">
        <x:v>Pharmaceutical Development Q8(R2)</x:v>
      </x:c>
      <x:c r="D12" s="98" t="str">
        <x:v>Step 4 final guideline</x:v>
      </x:c>
      <x:c r="E12" s="98" t="str">
        <x:v>https://database.ich.org/sites/default/files/Q8%28R2%29%20Guideline.pdf</x:v>
      </x:c>
      <x:c r="F12" s="98" t="str">
        <x:v>Material-attribute and process-parameter links to product CQAs</x:v>
      </x:c>
      <x:c r="G12" s="98" t="str">
        <x:v>Do not infer product-specific CQAs, design space, or ranges</x:v>
      </x:c>
      <x:c r="H12" s="98" t="str">
        <x:v>Current; verify regional implementation</x:v>
      </x:c>
    </x:row>
    <x:row r="13">
      <x:c r="A13" s="99" t="str">
        <x:v>ICH-Q11</x:v>
      </x:c>
      <x:c r="B13" s="99" t="str">
        <x:v>International Council for Harmonisation</x:v>
      </x:c>
      <x:c r="C13" s="99" t="str">
        <x:v>Development and Manufacture of Drug Substances Q11</x:v>
      </x:c>
      <x:c r="D13" s="99" t="str">
        <x:v>Step 4 final guideline</x:v>
      </x:c>
      <x:c r="E13" s="99" t="str">
        <x:v>https://database.ich.org/sites/default/files/Q11_Guideline.pdf</x:v>
      </x:c>
      <x:c r="F13" s="99" t="str">
        <x:v>Drug-substance process development and control strategy</x:v>
      </x:c>
      <x:c r="G13" s="99" t="str">
        <x:v>Retain product, starting-point, and regional scope</x:v>
      </x:c>
      <x:c r="H13" s="99" t="str">
        <x:v>Current; verify regional implementation</x:v>
      </x:c>
    </x:row>
    <x:row r="14">
      <x:c r="A14" s="99" t="str">
        <x:v>ICH-Q5D</x:v>
      </x:c>
      <x:c r="B14" s="99" t="str">
        <x:v>International Council for Harmonisation</x:v>
      </x:c>
      <x:c r="C14" s="99" t="str">
        <x:v>Derivation and Characterisation of Cell Substrates Q5D</x:v>
      </x:c>
      <x:c r="D14" s="99" t="str">
        <x:v>Step 4 final guideline</x:v>
      </x:c>
      <x:c r="E14" s="99" t="str">
        <x:v>https://database.ich.org/sites/default/files/Q5D%20Guideline.pdf</x:v>
      </x:c>
      <x:c r="F14" s="99" t="str">
        <x:v>Cell-substrate and cell-banking evidence</x:v>
      </x:c>
      <x:c r="G14" s="99" t="str">
        <x:v>Apply only within stated cell-substrate scope</x:v>
      </x:c>
      <x:c r="H14" s="99" t="str">
        <x:v>Current</x:v>
      </x:c>
    </x:row>
    <x:row r="15">
      <x:c r="A15" s="99" t="str">
        <x:v>ICH-Q6B</x:v>
      </x:c>
      <x:c r="B15" s="99" t="str">
        <x:v>International Council for Harmonisation</x:v>
      </x:c>
      <x:c r="C15" s="99" t="str">
        <x:v>Specifications for Biotechnological/Biological Products Q6B</x:v>
      </x:c>
      <x:c r="D15" s="99" t="str">
        <x:v>Step 4 final guideline; revision activity monitored</x:v>
      </x:c>
      <x:c r="E15" s="99" t="str">
        <x:v>https://database.ich.org/sites/default/files/Q6B_Guideline.pdf</x:v>
      </x:c>
      <x:c r="F15" s="99" t="str">
        <x:v>Characterization and specification context</x:v>
      </x:c>
      <x:c r="G15" s="99" t="str">
        <x:v>Specifications are one part of the total control strategy</x:v>
      </x:c>
      <x:c r="H15" s="99" t="str">
        <x:v>Current; revision activity exists</x:v>
      </x:c>
    </x:row>
    <x:row r="16">
      <x:c r="A16" s="99" t="str">
        <x:v>ICH-Q9-R1</x:v>
      </x:c>
      <x:c r="B16" s="99" t="str">
        <x:v>International Council for Harmonisation</x:v>
      </x:c>
      <x:c r="C16" s="99" t="str">
        <x:v>Quality Risk Management Q9(R1)</x:v>
      </x:c>
      <x:c r="D16" s="99" t="str">
        <x:v>Step 4 final guideline</x:v>
      </x:c>
      <x:c r="E16" s="99" t="str">
        <x:v>https://database.ich.org/sites/default/files/ICH_Q9-R1_Guideline_Step4_2022_1219.pdf</x:v>
      </x:c>
      <x:c r="F16" s="99" t="str">
        <x:v>Risk-based decision quality</x:v>
      </x:c>
      <x:c r="G16" s="99" t="str">
        <x:v>Risk tools do not manufacture evidence or approve criticality</x:v>
      </x:c>
      <x:c r="H16" s="99" t="str">
        <x:v>Current</x:v>
      </x:c>
    </x:row>
    <x:row r="17">
      <x:c r="A17" s="99" t="str">
        <x:v>ICH-Q10</x:v>
      </x:c>
      <x:c r="B17" s="99" t="str">
        <x:v>International Council for Harmonisation</x:v>
      </x:c>
      <x:c r="C17" s="99" t="str">
        <x:v>Pharmaceutical Quality System Q10</x:v>
      </x:c>
      <x:c r="D17" s="99" t="str">
        <x:v>Step 4 final guideline</x:v>
      </x:c>
      <x:c r="E17" s="99" t="str">
        <x:v>https://database.ich.org/sites/default/files/Q10_Guideline.pdf</x:v>
      </x:c>
      <x:c r="F17" s="99" t="str">
        <x:v>Knowledge management, change, and lifecycle governance</x:v>
      </x:c>
      <x:c r="G17" s="99" t="str">
        <x:v>Does not supply product-specific controls</x:v>
      </x:c>
      <x:c r="H17" s="99" t="str">
        <x:v>Current</x:v>
      </x:c>
    </x:row>
    <x:row r="18">
      <x:c r="A18" s="100" t="str">
        <x:v>FDA-PROCESS-VALIDATION-2011</x:v>
      </x:c>
      <x:c r="B18" s="100" t="str">
        <x:v>U.S. Food and Drug Administration</x:v>
      </x:c>
      <x:c r="C18" s="100" t="str">
        <x:v>Process Validation: General Principles and Practices</x:v>
      </x:c>
      <x:c r="D18" s="100" t="str">
        <x:v>Final guidance, January 2011</x:v>
      </x:c>
      <x:c r="E18" s="100" t="str">
        <x:v>https://www.fda.gov/regulatory-information/search-fda-guidance-documents/process-validation-general-principles-and-practices</x:v>
      </x:c>
      <x:c r="F18" s="100" t="str">
        <x:v>Lifecycle process design, qualification, and continued verification</x:v>
      </x:c>
      <x:c r="G18" s="100" t="str">
        <x:v>Nonbinding US guidance; confirm product and regional applicability</x:v>
      </x:c>
      <x:c r="H18" s="100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0" hidden="0" customWidth="1"/>
    <x:col min="5" max="5" width="23" hidden="0" customWidth="1"/>
    <x:col min="6" max="6" width="24" hidden="0" customWidth="1"/>
    <x:col min="7" max="7" width="2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55" t="str">
        <x:v>Quality Dimensions</x:v>
      </x:c>
      <x:c r="B4" s="56" t="str">
        <x:v>Criticality States</x:v>
      </x:c>
      <x:c r="C4" s="56" t="str">
        <x:v>Control Placements</x:v>
      </x:c>
      <x:c r="D4" s="56" t="str">
        <x:v>Review Statuses</x:v>
      </x:c>
      <x:c r="E4" s="56" t="str">
        <x:v>Record Types</x:v>
      </x:c>
      <x:c r="F4" s="56" t="str">
        <x:v>Evidence Strengths</x:v>
      </x:c>
      <x:c r="G4" s="56" t="str">
        <x:v>Evidence Types</x:v>
      </x:c>
      <x:c r="H4" s="56" t="str">
        <x:v>Action Types</x:v>
      </x:c>
      <x:c r="I4" s="56" t="str">
        <x:v>Priorities</x:v>
      </x:c>
      <x:c r="J4" s="57" t="str">
        <x:v>Action Statuses</x:v>
      </x:c>
    </x:row>
    <x:row r="5">
      <x:c r="A5" s="98" t="str">
        <x:v>Identity</x:v>
      </x:c>
      <x:c r="B5" s="98" t="str">
        <x:v>Supported criticality</x:v>
      </x:c>
      <x:c r="C5" s="98" t="str">
        <x:v>Material control</x:v>
      </x:c>
      <x:c r="D5" s="98" t="str">
        <x:v>Not started</x:v>
      </x:c>
      <x:c r="E5" s="98" t="str">
        <x:v>Material attribute</x:v>
      </x:c>
      <x:c r="F5" s="98" t="str">
        <x:v>Hypothesis</x:v>
      </x:c>
      <x:c r="G5" s="98" t="str">
        <x:v>Official guidance</x:v>
      </x:c>
      <x:c r="H5" s="98" t="str">
        <x:v>Evidence request</x:v>
      </x:c>
      <x:c r="I5" s="98" t="str">
        <x:v>Critical</x:v>
      </x:c>
      <x:c r="J5" s="98" t="str">
        <x:v>Not started</x:v>
      </x:c>
    </x:row>
    <x:row r="6">
      <x:c r="A6" s="99" t="str">
        <x:v>Activity / potency</x:v>
      </x:c>
      <x:c r="B6" s="99" t="str">
        <x:v>Working hypothesis</x:v>
      </x:c>
      <x:c r="C6" s="99" t="str">
        <x:v>Procedural / recipe control</x:v>
      </x:c>
      <x:c r="D6" s="99" t="str">
        <x:v>Draft</x:v>
      </x:c>
      <x:c r="E6" s="99" t="str">
        <x:v>Process parameter</x:v>
      </x:c>
      <x:c r="F6" s="99" t="str">
        <x:v>Observed association</x:v>
      </x:c>
      <x:c r="G6" s="99" t="str">
        <x:v>Controlled study</x:v>
      </x:c>
      <x:c r="H6" s="99" t="str">
        <x:v>Study</x:v>
      </x:c>
      <x:c r="I6" s="99" t="str">
        <x:v>High</x:v>
      </x:c>
      <x:c r="J6" s="99" t="str">
        <x:v>In progress</x:v>
      </x:c>
    </x:row>
    <x:row r="7">
      <x:c r="A7" s="99" t="str">
        <x:v>Heterogeneity</x:v>
      </x:c>
      <x:c r="B7" s="99" t="str">
        <x:v>Not material within scope</x:v>
      </x:c>
      <x:c r="C7" s="99" t="str">
        <x:v>Parameter control</x:v>
      </x:c>
      <x:c r="D7" s="99" t="str">
        <x:v>In review</x:v>
      </x:c>
      <x:c r="E7" s="99" t="str">
        <x:v>Performance indicator</x:v>
      </x:c>
      <x:c r="F7" s="99" t="str">
        <x:v>Designed-study support</x:v>
      </x:c>
      <x:c r="G7" s="99" t="str">
        <x:v>Manufacturing data</x:v>
      </x:c>
      <x:c r="H7" s="99" t="str">
        <x:v>Review</x:v>
      </x:c>
      <x:c r="I7" s="99" t="str">
        <x:v>Medium</x:v>
      </x:c>
      <x:c r="J7" s="99" t="str">
        <x:v>Blocked</x:v>
      </x:c>
    </x:row>
    <x:row r="8">
      <x:c r="A8" s="99" t="str">
        <x:v>Purity</x:v>
      </x:c>
      <x:c r="B8" s="99" t="str">
        <x:v>Unresolved</x:v>
      </x:c>
      <x:c r="C8" s="99" t="str">
        <x:v>Process monitoring</x:v>
      </x:c>
      <x:c r="D8" s="99" t="str">
        <x:v>Reviewed</x:v>
      </x:c>
      <x:c r="E8" s="99" t="str">
        <x:v>Process output</x:v>
      </x:c>
      <x:c r="F8" s="99" t="str">
        <x:v>Multi-source support</x:v>
      </x:c>
      <x:c r="G8" s="99" t="str">
        <x:v>Analytical study</x:v>
      </x:c>
      <x:c r="H8" s="99" t="str">
        <x:v>Control change</x:v>
      </x:c>
      <x:c r="I8" s="99" t="str">
        <x:v>Low</x:v>
      </x:c>
      <x:c r="J8" s="99" t="str">
        <x:v>Closed</x:v>
      </x:c>
    </x:row>
    <x:row r="9">
      <x:c r="A9" s="99" t="str">
        <x:v>Process-related impurity</x:v>
      </x:c>
      <x:c r="B9" s="99"/>
      <x:c r="C9" s="99" t="str">
        <x:v>In-process control</x:v>
      </x:c>
      <x:c r="D9" s="99"/>
      <x:c r="E9" s="99"/>
      <x:c r="F9" s="99" t="str">
        <x:v>Contradictory or unresolved</x:v>
      </x:c>
      <x:c r="G9" s="99" t="str">
        <x:v>Material / supplier evidence</x:v>
      </x:c>
      <x:c r="H9" s="99" t="str">
        <x:v>Monitoring</x:v>
      </x:c>
      <x:c r="I9" s="99"/>
      <x:c r="J9" s="99" t="str">
        <x:v>Deferred</x:v>
      </x:c>
    </x:row>
    <x:row r="10">
      <x:c r="A10" s="99" t="str">
        <x:v>Safety</x:v>
      </x:c>
      <x:c r="B10" s="99"/>
      <x:c r="C10" s="99" t="str">
        <x:v>Downstream control</x:v>
      </x:c>
      <x:c r="D10" s="99"/>
      <x:c r="E10" s="99"/>
      <x:c r="F10" s="99"/>
      <x:c r="G10" s="99" t="str">
        <x:v>Deviation / change record</x:v>
      </x:c>
      <x:c r="H10" s="99" t="str">
        <x:v>Comparability</x:v>
      </x:c>
      <x:c r="I10" s="99"/>
      <x:c r="J10" s="99"/>
    </x:row>
    <x:row r="11">
      <x:c r="A11" s="99" t="str">
        <x:v>Stability</x:v>
      </x:c>
      <x:c r="B11" s="99"/>
      <x:c r="C11" s="99" t="str">
        <x:v>Characterization</x:v>
      </x:c>
      <x:c r="D11" s="99"/>
      <x:c r="E11" s="99"/>
      <x:c r="F11" s="99"/>
      <x:c r="G11" s="99" t="str">
        <x:v>Platform knowledge</x:v>
      </x:c>
      <x:c r="H11" s="99" t="str">
        <x:v>Escalation</x:v>
      </x:c>
      <x:c r="I11" s="99"/>
      <x:c r="J11" s="99"/>
    </x:row>
    <x:row r="12">
      <x:c r="A12" s="99" t="str">
        <x:v>Other</x:v>
      </x:c>
      <x:c r="B12" s="99"/>
      <x:c r="C12" s="99" t="str">
        <x:v>Release</x:v>
      </x:c>
      <x:c r="D12" s="99"/>
      <x:c r="E12" s="99"/>
      <x:c r="F12" s="99"/>
      <x:c r="G12" s="99" t="str">
        <x:v>Other</x:v>
      </x:c>
      <x:c r="H12" s="99" t="str">
        <x:v>Decision</x:v>
      </x:c>
      <x:c r="I12" s="99"/>
      <x:c r="J12" s="99"/>
    </x:row>
    <x:row r="13">
      <x:c r="A13" s="99"/>
      <x:c r="B13" s="99"/>
      <x:c r="C13" s="99" t="str">
        <x:v>Stability</x:v>
      </x:c>
      <x:c r="D13" s="99"/>
      <x:c r="E13" s="99"/>
      <x:c r="F13" s="99"/>
      <x:c r="G13" s="99"/>
      <x:c r="H13" s="99"/>
      <x:c r="I13" s="99"/>
      <x:c r="J13" s="99"/>
    </x:row>
    <x:row r="14">
      <x:c r="A14" s="99"/>
      <x:c r="B14" s="99"/>
      <x:c r="C14" s="99" t="str">
        <x:v>Process validation</x:v>
      </x:c>
      <x:c r="D14" s="99"/>
      <x:c r="E14" s="99"/>
      <x:c r="F14" s="99"/>
      <x:c r="G14" s="99"/>
      <x:c r="H14" s="99"/>
      <x:c r="I14" s="99"/>
      <x:c r="J14" s="99"/>
    </x:row>
    <x:row r="15">
      <x:c r="A15" s="99"/>
      <x:c r="B15" s="99"/>
      <x:c r="C15" s="99" t="str">
        <x:v>Continued verification</x:v>
      </x:c>
      <x:c r="D15" s="99"/>
      <x:c r="E15" s="99"/>
      <x:c r="F15" s="99"/>
      <x:c r="G15" s="99"/>
      <x:c r="H15" s="99"/>
      <x:c r="I15" s="99"/>
      <x:c r="J15" s="99"/>
    </x:row>
    <x:row r="16">
      <x:c r="A16" s="99"/>
      <x:c r="B16" s="99"/>
      <x:c r="C16" s="99" t="str">
        <x:v>Evidence required</x:v>
      </x:c>
      <x:c r="D16" s="99"/>
      <x:c r="E16" s="99"/>
      <x:c r="F16" s="99"/>
      <x:c r="G16" s="99"/>
      <x:c r="H16" s="99"/>
      <x:c r="I16" s="99"/>
      <x:c r="J16" s="99"/>
    </x:row>
    <x:row r="17">
      <x:c r="A17" s="100"/>
      <x:c r="B17" s="100"/>
      <x:c r="C17" s="100" t="str">
        <x:v>Combination</x:v>
      </x:c>
      <x:c r="D17" s="100"/>
      <x:c r="E17" s="100"/>
      <x:c r="F17" s="100"/>
      <x:c r="G17" s="100"/>
      <x:c r="H17" s="100"/>
      <x:c r="I17" s="100"/>
      <x:c r="J17" s="100"/>
    </x:row>
  </x:sheetData>
  <x:mergeCells>
    <x:mergeCell ref="A1:J1"/>
    <x:mergeCell ref="A2:J2"/>
  </x:mergeCells>
  <x:pageMargins left="0.7" right="0.7" top="0.75" bottom="0.75" header="0.3" footer="0.3"/>
</x:worksheet>
</file>