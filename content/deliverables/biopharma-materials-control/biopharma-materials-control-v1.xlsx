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3c90e09864a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a849ed9957624633"/>
    <x:sheet xmlns:r="http://schemas.openxmlformats.org/officeDocument/2006/relationships" name="Decision Brief" sheetId="2" r:id="R8b12208a682b4d00"/>
    <x:sheet xmlns:r="http://schemas.openxmlformats.org/officeDocument/2006/relationships" name="Material Contact Map" sheetId="3" r:id="Re4ca8e813e0d4903"/>
    <x:sheet xmlns:r="http://schemas.openxmlformats.org/officeDocument/2006/relationships" name="Material Portfolio" sheetId="4" r:id="R0ab94da7db524710"/>
    <x:sheet xmlns:r="http://schemas.openxmlformats.org/officeDocument/2006/relationships" name="Supplier &amp; Chain" sheetId="5" r:id="Red2878a387854fb0"/>
    <x:sheet xmlns:r="http://schemas.openxmlformats.org/officeDocument/2006/relationships" name="Functional Attributes" sheetId="6" r:id="R09451f6db17a45b0"/>
    <x:sheet xmlns:r="http://schemas.openxmlformats.org/officeDocument/2006/relationships" name="Single-Use Systems" sheetId="7" r:id="R51cbb457833c4f38"/>
    <x:sheet xmlns:r="http://schemas.openxmlformats.org/officeDocument/2006/relationships" name="Change Assessment" sheetId="8" r:id="Rdc12c0b799664505"/>
    <x:sheet xmlns:r="http://schemas.openxmlformats.org/officeDocument/2006/relationships" name="Evidence Register" sheetId="9" r:id="R58c9d89207cb48f6"/>
    <x:sheet xmlns:r="http://schemas.openxmlformats.org/officeDocument/2006/relationships" name="Review &amp; Actions" sheetId="10" r:id="R03e07d6608db4322"/>
    <x:sheet xmlns:r="http://schemas.openxmlformats.org/officeDocument/2006/relationships" name="Sources &amp; Control" sheetId="11" r:id="Rafb9df28c5484247"/>
    <x:sheet xmlns:r="http://schemas.openxmlformats.org/officeDocument/2006/relationships" name="Lists" sheetId="12" r:id="Rb1f281f3e34d40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36174"/>
      <x:name val="Carlito"/>
    </x:font>
    <x:font>
      <x:b/>
      <x:sz val="10"/>
      <x:color rgb="FFFFFFFF"/>
      <x:name val="Carlito"/>
    </x:font>
    <x:font>
      <x:b/>
      <x:sz val="11"/>
      <x:color rgb="FF7B2020"/>
      <x:name val="Carlito"/>
    </x:font>
    <x:font>
      <x:b/>
      <x:sz val="11"/>
      <x:color rgb="FF172033"/>
      <x:name val="Carlito"/>
    </x:font>
    <x:font>
      <x:b/>
      <x:sz val="11"/>
      <x:color rgb="FF7A4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263F"/>
      </x:patternFill>
    </x:fill>
    <x:fill>
      <x:patternFill patternType="solid">
        <x:fgColor rgb="FFEDF5FA"/>
      </x:patternFill>
    </x:fill>
    <x:fill>
      <x:patternFill patternType="solid">
        <x:fgColor rgb="FF1F5A83"/>
      </x:patternFill>
    </x:fill>
    <x:fill>
      <x:patternFill patternType="solid">
        <x:fgColor rgb="FFFBE8E8"/>
      </x:patternFill>
    </x:fill>
    <x:fill>
      <x:patternFill patternType="solid">
        <x:fgColor rgb="FFFFF1D6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9"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481620ea924e56" /><Relationship Type="http://schemas.openxmlformats.org/officeDocument/2006/relationships/theme" Target="/xl/theme/theme1.xml" Id="R34829a70109c4f01" /><Relationship Type="http://schemas.openxmlformats.org/officeDocument/2006/relationships/sharedStrings" Target="/xl/sharedStrings.xml" Id="R15ae57d2c1c74b3a" /><Relationship Type="http://schemas.openxmlformats.org/officeDocument/2006/relationships/worksheet" Target="/xl/worksheets/sheet1.xml" Id="Ra849ed9957624633" /><Relationship Type="http://schemas.openxmlformats.org/officeDocument/2006/relationships/worksheet" Target="/xl/worksheets/sheet2.xml" Id="R8b12208a682b4d00" /><Relationship Type="http://schemas.openxmlformats.org/officeDocument/2006/relationships/worksheet" Target="/xl/worksheets/sheet3.xml" Id="Re4ca8e813e0d4903" /><Relationship Type="http://schemas.openxmlformats.org/officeDocument/2006/relationships/worksheet" Target="/xl/worksheets/sheet4.xml" Id="R0ab94da7db524710" /><Relationship Type="http://schemas.openxmlformats.org/officeDocument/2006/relationships/worksheet" Target="/xl/worksheets/sheet5.xml" Id="Red2878a387854fb0" /><Relationship Type="http://schemas.openxmlformats.org/officeDocument/2006/relationships/worksheet" Target="/xl/worksheets/sheet6.xml" Id="R09451f6db17a45b0" /><Relationship Type="http://schemas.openxmlformats.org/officeDocument/2006/relationships/worksheet" Target="/xl/worksheets/sheet7.xml" Id="R51cbb457833c4f38" /><Relationship Type="http://schemas.openxmlformats.org/officeDocument/2006/relationships/worksheet" Target="/xl/worksheets/sheet8.xml" Id="Rdc12c0b799664505" /><Relationship Type="http://schemas.openxmlformats.org/officeDocument/2006/relationships/worksheet" Target="/xl/worksheets/sheet9.xml" Id="R58c9d89207cb48f6" /><Relationship Type="http://schemas.openxmlformats.org/officeDocument/2006/relationships/worksheet" Target="/xl/worksheets/sheet10.xml" Id="R03e07d6608db4322" /><Relationship Type="http://schemas.openxmlformats.org/officeDocument/2006/relationships/worksheet" Target="/xl/worksheets/sheet11.xml" Id="Rafb9df28c5484247" /><Relationship Type="http://schemas.openxmlformats.org/officeDocument/2006/relationships/worksheet" Target="/xl/worksheets/sheet12.xml" Id="Rb1f281f3e34d40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2" hidden="0" customWidth="1"/>
  </x:cols>
  <x:sheetData>
    <x:row r="1" ht="32" customHeight="1">
      <x:c r="A1" s="3" t="str">
        <x:v>Biopharma Materials &amp; Single-Use Control Evidence Map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Version 1.0.0-review · Blank working file · Under review</x:v>
      </x:c>
      <x:c r="B2" s="7"/>
      <x:c r="C2" s="7"/>
      <x:c r="D2" s="7"/>
      <x:c r="E2" s="7"/>
      <x:c r="F2" s="7"/>
      <x:c r="G2" s="7"/>
      <x:c r="H2" s="7"/>
    </x:row>
    <x:row r="4" ht="31" customHeight="1">
      <x:c r="A4" s="11" t="str">
        <x:v>Decision boundary</x:v>
      </x:c>
      <x:c r="B4" s="11"/>
      <x:c r="C4" s="11"/>
      <x:c r="D4" s="11"/>
      <x:c r="E4" s="11"/>
      <x:c r="F4" s="11"/>
      <x:c r="G4" s="11"/>
      <x:c r="H4" s="11"/>
    </x:row>
    <x:row r="5">
      <x:c r="A5" s="15" t="str">
        <x:v>This workbook structures evidence. It does not approve a supplier, material, single-use system, E&amp;L conclusion, validation, comparability, change, filing, batch, or product release. An approved supplier is not automatic approval of a changed site, sub-tier source, process, formulation, sterilization route, or configuration.</x:v>
      </x:c>
      <x:c r="B5" s="15"/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9" ht="31" customHeight="1">
      <x:c r="A9" s="11" t="str">
        <x:v>Step</x:v>
      </x:c>
      <x:c r="B9" s="11" t="str">
        <x:v>Required action</x:v>
      </x:c>
    </x:row>
    <x:row r="10" ht="42" customHeight="1">
      <x:c r="A10" s="17" t="n">
        <x:v>1</x:v>
      </x:c>
      <x:c r="B10" s="17" t="str">
        <x:v>Freeze exact material/component, version, supplier chain, sterilization, intended use and change.</x:v>
      </x:c>
    </x:row>
    <x:row r="11" ht="42" customHeight="1">
      <x:c r="A11" s="17" t="n">
        <x:v>2</x:v>
      </x:c>
      <x:c r="B11" s="17" t="str">
        <x:v>Map contact, exposure, function and plausible failure impact before assigning criticality.</x:v>
      </x:c>
    </x:row>
    <x:row r="12" ht="42" customHeight="1">
      <x:c r="A12" s="17" t="n">
        <x:v>3</x:v>
      </x:c>
      <x:c r="B12" s="17" t="str">
        <x:v>Trace manufacturer, sites, sub-tier sources, processing, packaging, distribution and notification.</x:v>
      </x:c>
    </x:row>
    <x:row r="13" ht="42" customHeight="1">
      <x:c r="A13" s="17" t="n">
        <x:v>4</x:v>
      </x:c>
      <x:c r="B13" s="17" t="str">
        <x:v>Separate incoming/CoA conformance from functional and process/product suitability.</x:v>
      </x:c>
    </x:row>
    <x:row r="14" ht="42" customHeight="1">
      <x:c r="A14" s="17" t="n">
        <x:v>5</x:v>
      </x:c>
      <x:c r="B14" s="17" t="str">
        <x:v>Assess the configured single-use system across integrity, sterilization, compatibility and E&amp;L applicability.</x:v>
      </x:c>
    </x:row>
    <x:row r="15" ht="42" customHeight="1">
      <x:c r="A15" s="17" t="n">
        <x:v>6</x:v>
      </x:c>
      <x:c r="B15" s="17" t="str">
        <x:v>Map each change to qualification, validation, comparability, stability, filing and implementation questions.</x:v>
      </x:c>
    </x:row>
    <x:row r="16" ht="42" customHeight="1">
      <x:c r="A16" s="17" t="n">
        <x:v>7</x:v>
      </x:c>
      <x:c r="B16" s="17" t="str">
        <x:v>Resolve evidence and review flags; preserve conditions and disagreement.</x:v>
      </x:c>
    </x:row>
    <x:row r="17" ht="42" customHeight="1">
      <x:c r="A17" s="17" t="n">
        <x:v>8</x:v>
      </x:c>
      <x:c r="B17" s="17" t="str">
        <x:v>Transfer only authorized decisions to controlled site systems.</x:v>
      </x:c>
    </x:row>
    <x:row r="18" ht="42" customHeight="1">
      <x:c r="A18" s="17" t="str">
        <x:v>Analytics</x:v>
      </x:c>
      <x:c r="B18" s="17" t="str">
        <x:v>Do not place confidential product, supplier, batch, patient or artifact content in Atlas analytics.</x:v>
      </x:c>
    </x:row>
  </x:sheetData>
  <x:mergeCells>
    <x:mergeCell ref="A1:H1"/>
    <x:mergeCell ref="A2:H2"/>
    <x:mergeCell ref="A4:H4"/>
    <x:mergeCell ref="A5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30" hidden="0" customWidth="1"/>
    <x:col min="5" max="5" width="28" hidden="0" customWidth="1"/>
    <x:col min="1" max="1" width="27" hidden="0" customWidth="1"/>
    <x:col min="2" max="2" width="72" hidden="0" customWidth="1"/>
  </x:cols>
  <x:sheetData>
    <x:row r="1" ht="32" customHeight="1">
      <x:c r="A1" s="3" t="str">
        <x:v>Decision Brief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Freeze one material-use/change decision and read workbook completeness without treating it as approval.</x:v>
      </x:c>
      <x:c r="B2" s="7"/>
      <x:c r="C2" s="7"/>
      <x:c r="D2" s="7"/>
      <x:c r="E2" s="7"/>
      <x:c r="F2" s="7"/>
      <x:c r="G2" s="7"/>
      <x:c r="H2" s="7"/>
    </x:row>
    <x:row r="4" ht="31" customHeight="1">
      <x:c r="A4" s="11" t="str">
        <x:v>Field</x:v>
      </x:c>
      <x:c r="B4" s="11" t="str">
        <x:v>Controlled value</x:v>
      </x:c>
      <x:c r="D4" s="11" t="str">
        <x:v>Completeness / review signal</x:v>
      </x:c>
      <x:c r="E4" s="11" t="str">
        <x:v>Value</x:v>
      </x:c>
    </x:row>
    <x:row r="5">
      <x:c r="A5" s="18" t="str">
        <x:v>Product / modality</x:v>
      </x:c>
      <x:c r="B5" t="str"/>
      <x:c r="D5" s="19" t="str">
        <x:v>Incomplete rows</x:v>
      </x:c>
      <x:c r="E5" s="19" t="n">
        <x:f>COUNTIF('Material Contact Map'!J5:J20,"Incomplete")+COUNTIF('Material Portfolio'!J5:J20,"Incomplete")+COUNTIF('Supplier &amp; Chain'!J5:J20,"Incomplete")+COUNTIF('Functional Attributes'!J5:J20,"Incomplete")+COUNTIF('Single-Use Systems'!J5:J20,"Incomplete")+COUNTIF('Change Assessment'!J5:J20,"Incomplete")+COUNTIF('Evidence Register'!J5:J20,"Incomplete")</x:f>
        <x:v>46</x:v>
      </x:c>
    </x:row>
    <x:row r="6">
      <x:c r="A6" s="18" t="str">
        <x:v>Process / use scope</x:v>
      </x:c>
      <x:c r="B6" t="str"/>
      <x:c r="D6" s="19" t="str">
        <x:v>Evidence-required rows</x:v>
      </x:c>
      <x:c r="E6" s="19" t="n">
        <x:f>COUNTIF('Material Contact Map'!J5:J20,"Evidence required")+COUNTIF('Material Portfolio'!J5:J20,"Evidence required")+COUNTIF('Supplier &amp; Chain'!J5:J20,"Evidence required")+COUNTIF('Functional Attributes'!J5:J20,"Evidence required")+COUNTIF('Single-Use Systems'!J5:J20,"Evidence required")+COUNTIF('Change Assessment'!J5:J20,"Evidence required")+COUNTIF('Evidence Register'!J5:J20,"Evidence required")</x:f>
        <x:v>0</x:v>
      </x:c>
    </x:row>
    <x:row r="7">
      <x:c r="A7" s="18" t="str">
        <x:v>Material/component versions</x:v>
      </x:c>
      <x:c r="B7" t="str"/>
      <x:c r="D7" s="19" t="str">
        <x:v>Review-required rows</x:v>
      </x:c>
      <x:c r="E7" s="19" t="n">
        <x:f>COUNTIF('Material Contact Map'!J5:J20,"Review required")+COUNTIF('Material Portfolio'!J5:J20,"Review required")+COUNTIF('Supplier &amp; Chain'!J5:J20,"Review required")+COUNTIF('Functional Attributes'!J5:J20,"Review required")+COUNTIF('Single-Use Systems'!J5:J20,"Review required")+COUNTIF('Change Assessment'!J5:J20,"Review required")+COUNTIF('Evidence Register'!J5:J20,"Review required")</x:f>
        <x:v>0</x:v>
      </x:c>
    </x:row>
    <x:row r="8">
      <x:c r="A8" s="18" t="str">
        <x:v>Change</x:v>
      </x:c>
      <x:c r="B8" t="str"/>
      <x:c r="D8" s="19" t="str">
        <x:v>Open actions</x:v>
      </x:c>
      <x:c r="E8" s="19" t="n">
        <x:f>COUNTIF('Review &amp; Actions'!G5:G20,"Open")</x:f>
        <x:v>0</x:v>
      </x:c>
    </x:row>
    <x:row r="9">
      <x:c r="A9" s="18" t="str">
        <x:v>Lifecycle / markets</x:v>
      </x:c>
      <x:c r="B9" t="str"/>
      <x:c r="D9" s="19" t="str">
        <x:v>Global status</x:v>
      </x:c>
      <x:c r="E9" s="21" t="str">
        <x:f>IF(E5+E6&gt;0,"Evidence required",IF(E7+E8&gt;0,"Qualified review required","Qualified review required"))</x:f>
        <x:v>Evidence required</x:v>
      </x:c>
    </x:row>
    <x:row r="10">
      <x:c r="A10" s="18" t="str">
        <x:v>Decision owner</x:v>
      </x:c>
      <x:c r="B10" t="str"/>
    </x:row>
    <x:row r="11">
      <x:c r="A11" s="18" t="str">
        <x:v>Decision authority</x:v>
      </x:c>
      <x:c r="B11" t="str"/>
    </x:row>
    <x:row r="12">
      <x:c r="A12" s="18" t="str">
        <x:v>Included</x:v>
      </x:c>
      <x:c r="B12" t="str"/>
    </x:row>
    <x:row r="13">
      <x:c r="A13" s="18" t="str">
        <x:v>Excluded</x:v>
      </x:c>
      <x:c r="B13" t="str"/>
    </x:row>
    <x:row r="14">
      <x:c r="A14" s="18" t="str">
        <x:v>Workbook version</x:v>
      </x:c>
      <x:c r="B14" t="str">
        <x:v>1.0.0-review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0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Material Contact Map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Map exact contact, exposure and process stage before treating a material or component as equivalent.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15" hidden="0" customHeight="1">
      <x:c r="A4" s="11" t="str">
        <x:v>ID</x:v>
      </x:c>
      <x:c r="B4" s="11" t="str">
        <x:v>Item / decision object</x:v>
      </x:c>
      <x:c r="C4" s="11" t="str">
        <x:v>Defined scope / version</x:v>
      </x:c>
      <x:c r="D4" s="11" t="str">
        <x:v>Evidence held / current state</x:v>
      </x:c>
      <x:c r="E4" s="11" t="str">
        <x:v>Gap / potential impact</x:v>
      </x:c>
      <x:c r="F4" s="11" t="str">
        <x:v>Owner</x:v>
      </x:c>
      <x:c r="G4" s="11" t="str">
        <x:v>Evidence ID</x:v>
      </x:c>
      <x:c r="H4" s="11" t="str">
        <x:v>Reviewer role</x:v>
      </x:c>
      <x:c r="I4" s="11" t="str">
        <x:v>Review state</x:v>
      </x:c>
      <x:c r="J4" s="11" t="str">
        <x:v>Status</x:v>
      </x:c>
    </x:row>
    <x:row r="5" ht="15" hidden="0" customHeight="1">
      <x:c r="A5" s="17" t="str">
        <x:v>MA-01</x:v>
      </x:c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>
        <x:f>IF(B5="","Incomplete",IF(G5="","Evidence required",IF(OR(H5="",I5&lt;&gt;"Accepted"),"Review required","Complete")))</x:f>
        <x:v>Incomplete</x:v>
      </x:c>
    </x:row>
    <x:row r="6" ht="15" hidden="0" customHeight="1">
      <x:c r="A6" s="17" t="str">
        <x:v>MA-02</x:v>
      </x:c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>
        <x:f>IF(B6="","Incomplete",IF(G6="","Evidence required",IF(OR(H6="",I6&lt;&gt;"Accepted"),"Review required","Complete")))</x:f>
        <x:v>Incomplete</x:v>
      </x:c>
    </x:row>
    <x:row r="7" ht="15" hidden="0" customHeight="1">
      <x:c r="A7" s="17" t="str">
        <x:v>MA-03</x:v>
      </x:c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>
        <x:f>IF(B7="","Incomplete",IF(G7="","Evidence required",IF(OR(H7="",I7&lt;&gt;"Accepted"),"Review required","Complete")))</x:f>
        <x:v>Incomplete</x:v>
      </x:c>
    </x:row>
    <x:row r="8" ht="15" hidden="0" customHeight="1">
      <x:c r="A8" s="17" t="str">
        <x:v>MA-04</x:v>
      </x:c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>
        <x:f>IF(B8="","Incomplete",IF(G8="","Evidence required",IF(OR(H8="",I8&lt;&gt;"Accepted"),"Review required","Complete")))</x:f>
        <x:v>Incomplete</x:v>
      </x:c>
    </x:row>
    <x:row r="9" ht="15" hidden="0" customHeight="1">
      <x:c r="A9" s="17" t="str">
        <x:v>MA-05</x:v>
      </x:c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>
        <x:f>IF(B9="","Incomplete",IF(G9="","Evidence required",IF(OR(H9="",I9&lt;&gt;"Accepted"),"Review required","Complete")))</x:f>
        <x:v>Incomplete</x:v>
      </x:c>
    </x:row>
    <x:row r="10" ht="15" hidden="0" customHeight="1">
      <x:c r="A10" s="17" t="str">
        <x:v>MA-06</x:v>
      </x:c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>
        <x:f>IF(B10="","Incomplete",IF(G10="","Evidence required",IF(OR(H10="",I10&lt;&gt;"Accepted"),"Review required","Complete")))</x:f>
        <x:v>Incomplete</x:v>
      </x:c>
    </x:row>
  </x:sheetData>
  <x:mergeCells>
    <x:mergeCell ref="A1:J1"/>
    <x:mergeCell ref="A2:J2"/>
  </x:mergeCells>
  <x:conditionalFormatting sqref="J5:J10">
    <x:cfRule type="containsText" dxfId="0" priority="1" operator="containsText" text="Incomplete"/>
    <x:cfRule type="containsText" dxfId="1" priority="2" operator="containsText" text="Evidence required"/>
    <x:cfRule type="containsText" dxfId="2" priority="3" operator="containsText" text="Review required"/>
    <x:cfRule type="containsText" dxfId="3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0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Material Portfolio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Separate identity, grade and incoming conformance from functional and process/product suitability.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15" hidden="0" customHeight="1">
      <x:c r="A4" s="11" t="str">
        <x:v>ID</x:v>
      </x:c>
      <x:c r="B4" s="11" t="str">
        <x:v>Item / decision object</x:v>
      </x:c>
      <x:c r="C4" s="11" t="str">
        <x:v>Defined scope / version</x:v>
      </x:c>
      <x:c r="D4" s="11" t="str">
        <x:v>Evidence held / current state</x:v>
      </x:c>
      <x:c r="E4" s="11" t="str">
        <x:v>Gap / potential impact</x:v>
      </x:c>
      <x:c r="F4" s="11" t="str">
        <x:v>Owner</x:v>
      </x:c>
      <x:c r="G4" s="11" t="str">
        <x:v>Evidence ID</x:v>
      </x:c>
      <x:c r="H4" s="11" t="str">
        <x:v>Reviewer role</x:v>
      </x:c>
      <x:c r="I4" s="11" t="str">
        <x:v>Review state</x:v>
      </x:c>
      <x:c r="J4" s="11" t="str">
        <x:v>Status</x:v>
      </x:c>
    </x:row>
    <x:row r="5" ht="15" hidden="0" customHeight="1">
      <x:c r="A5" s="17" t="str">
        <x:v>MA-01</x:v>
      </x:c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>
        <x:f>IF(B5="","Incomplete",IF(G5="","Evidence required",IF(OR(H5="",I5&lt;&gt;"Accepted"),"Review required","Complete")))</x:f>
        <x:v>Incomplete</x:v>
      </x:c>
    </x:row>
    <x:row r="6" ht="15" hidden="0" customHeight="1">
      <x:c r="A6" s="17" t="str">
        <x:v>MA-02</x:v>
      </x:c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>
        <x:f>IF(B6="","Incomplete",IF(G6="","Evidence required",IF(OR(H6="",I6&lt;&gt;"Accepted"),"Review required","Complete")))</x:f>
        <x:v>Incomplete</x:v>
      </x:c>
    </x:row>
    <x:row r="7" ht="15" hidden="0" customHeight="1">
      <x:c r="A7" s="17" t="str">
        <x:v>MA-03</x:v>
      </x:c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>
        <x:f>IF(B7="","Incomplete",IF(G7="","Evidence required",IF(OR(H7="",I7&lt;&gt;"Accepted"),"Review required","Complete")))</x:f>
        <x:v>Incomplete</x:v>
      </x:c>
    </x:row>
    <x:row r="8" ht="15" hidden="0" customHeight="1">
      <x:c r="A8" s="17" t="str">
        <x:v>MA-04</x:v>
      </x:c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>
        <x:f>IF(B8="","Incomplete",IF(G8="","Evidence required",IF(OR(H8="",I8&lt;&gt;"Accepted"),"Review required","Complete")))</x:f>
        <x:v>Incomplete</x:v>
      </x:c>
    </x:row>
    <x:row r="9" ht="15" hidden="0" customHeight="1">
      <x:c r="A9" s="17" t="str">
        <x:v>MA-05</x:v>
      </x:c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>
        <x:f>IF(B9="","Incomplete",IF(G9="","Evidence required",IF(OR(H9="",I9&lt;&gt;"Accepted"),"Review required","Complete")))</x:f>
        <x:v>Incomplete</x:v>
      </x:c>
    </x:row>
    <x:row r="10" ht="15" hidden="0" customHeight="1">
      <x:c r="A10" s="17" t="str">
        <x:v>MA-06</x:v>
      </x:c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>
        <x:f>IF(B10="","Incomplete",IF(G10="","Evidence required",IF(OR(H10="",I10&lt;&gt;"Accepted"),"Review required","Complete")))</x:f>
        <x:v>Incomplete</x:v>
      </x:c>
    </x:row>
  </x:sheetData>
  <x:mergeCells>
    <x:mergeCell ref="A1:J1"/>
    <x:mergeCell ref="A2:J2"/>
  </x:mergeCells>
  <x:conditionalFormatting sqref="J5:J10">
    <x:cfRule type="containsText" dxfId="4" priority="1" operator="containsText" text="Incomplete"/>
    <x:cfRule type="containsText" dxfId="5" priority="2" operator="containsText" text="Evidence required"/>
    <x:cfRule type="containsText" dxfId="6" priority="3" operator="containsText" text="Review required"/>
    <x:cfRule type="containsText" dxfId="7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0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Supplier &amp; Chain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Trace manufacturer, site, sub-tier, processing, sterilization, distribution and notification boundaries.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15" hidden="0" customHeight="1">
      <x:c r="A4" s="11" t="str">
        <x:v>ID</x:v>
      </x:c>
      <x:c r="B4" s="11" t="str">
        <x:v>Item / decision object</x:v>
      </x:c>
      <x:c r="C4" s="11" t="str">
        <x:v>Defined scope / version</x:v>
      </x:c>
      <x:c r="D4" s="11" t="str">
        <x:v>Evidence held / current state</x:v>
      </x:c>
      <x:c r="E4" s="11" t="str">
        <x:v>Gap / potential impact</x:v>
      </x:c>
      <x:c r="F4" s="11" t="str">
        <x:v>Owner</x:v>
      </x:c>
      <x:c r="G4" s="11" t="str">
        <x:v>Evidence ID</x:v>
      </x:c>
      <x:c r="H4" s="11" t="str">
        <x:v>Reviewer role</x:v>
      </x:c>
      <x:c r="I4" s="11" t="str">
        <x:v>Review state</x:v>
      </x:c>
      <x:c r="J4" s="11" t="str">
        <x:v>Status</x:v>
      </x:c>
    </x:row>
    <x:row r="5" ht="15" hidden="0" customHeight="1">
      <x:c r="A5" s="17" t="str">
        <x:v>SU-01</x:v>
      </x:c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>
        <x:f>IF(B5="","Incomplete",IF(G5="","Evidence required",IF(OR(H5="",I5&lt;&gt;"Accepted"),"Review required","Complete")))</x:f>
        <x:v>Incomplete</x:v>
      </x:c>
    </x:row>
    <x:row r="6" ht="15" hidden="0" customHeight="1">
      <x:c r="A6" s="17" t="str">
        <x:v>SU-02</x:v>
      </x:c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>
        <x:f>IF(B6="","Incomplete",IF(G6="","Evidence required",IF(OR(H6="",I6&lt;&gt;"Accepted"),"Review required","Complete")))</x:f>
        <x:v>Incomplete</x:v>
      </x:c>
    </x:row>
    <x:row r="7" ht="15" hidden="0" customHeight="1">
      <x:c r="A7" s="17" t="str">
        <x:v>SU-03</x:v>
      </x:c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>
        <x:f>IF(B7="","Incomplete",IF(G7="","Evidence required",IF(OR(H7="",I7&lt;&gt;"Accepted"),"Review required","Complete")))</x:f>
        <x:v>Incomplete</x:v>
      </x:c>
    </x:row>
    <x:row r="8" ht="15" hidden="0" customHeight="1">
      <x:c r="A8" s="17" t="str">
        <x:v>SU-04</x:v>
      </x:c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>
        <x:f>IF(B8="","Incomplete",IF(G8="","Evidence required",IF(OR(H8="",I8&lt;&gt;"Accepted"),"Review required","Complete")))</x:f>
        <x:v>Incomplete</x:v>
      </x:c>
    </x:row>
    <x:row r="9" ht="15" hidden="0" customHeight="1">
      <x:c r="A9" s="17" t="str">
        <x:v>SU-05</x:v>
      </x:c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>
        <x:f>IF(B9="","Incomplete",IF(G9="","Evidence required",IF(OR(H9="",I9&lt;&gt;"Accepted"),"Review required","Complete")))</x:f>
        <x:v>Incomplete</x:v>
      </x:c>
    </x:row>
    <x:row r="10" ht="15" hidden="0" customHeight="1">
      <x:c r="A10" s="17" t="str">
        <x:v>SU-06</x:v>
      </x:c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>
        <x:f>IF(B10="","Incomplete",IF(G10="","Evidence required",IF(OR(H10="",I10&lt;&gt;"Accepted"),"Review required","Complete")))</x:f>
        <x:v>Incomplete</x:v>
      </x:c>
    </x:row>
  </x:sheetData>
  <x:mergeCells>
    <x:mergeCell ref="A1:J1"/>
    <x:mergeCell ref="A2:J2"/>
  </x:mergeCells>
  <x:conditionalFormatting sqref="J5:J10">
    <x:cfRule type="containsText" dxfId="8" priority="1" operator="containsText" text="Incomplete"/>
    <x:cfRule type="containsText" dxfId="9" priority="2" operator="containsText" text="Evidence required"/>
    <x:cfRule type="containsText" dxfId="10" priority="3" operator="containsText" text="Review required"/>
    <x:cfRule type="containsText" dxfId="11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0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Functional Attributes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Link proposed attributes to function, failure modes, detectability and product/process evidence without inventing criticality.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15" hidden="0" customHeight="1">
      <x:c r="A4" s="11" t="str">
        <x:v>ID</x:v>
      </x:c>
      <x:c r="B4" s="11" t="str">
        <x:v>Item / decision object</x:v>
      </x:c>
      <x:c r="C4" s="11" t="str">
        <x:v>Defined scope / version</x:v>
      </x:c>
      <x:c r="D4" s="11" t="str">
        <x:v>Evidence held / current state</x:v>
      </x:c>
      <x:c r="E4" s="11" t="str">
        <x:v>Gap / potential impact</x:v>
      </x:c>
      <x:c r="F4" s="11" t="str">
        <x:v>Owner</x:v>
      </x:c>
      <x:c r="G4" s="11" t="str">
        <x:v>Evidence ID</x:v>
      </x:c>
      <x:c r="H4" s="11" t="str">
        <x:v>Reviewer role</x:v>
      </x:c>
      <x:c r="I4" s="11" t="str">
        <x:v>Review state</x:v>
      </x:c>
      <x:c r="J4" s="11" t="str">
        <x:v>Status</x:v>
      </x:c>
    </x:row>
    <x:row r="5" ht="15" hidden="0" customHeight="1">
      <x:c r="A5" s="17" t="str">
        <x:v>FU-01</x:v>
      </x:c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>
        <x:f>IF(B5="","Incomplete",IF(G5="","Evidence required",IF(OR(H5="",I5&lt;&gt;"Accepted"),"Review required","Complete")))</x:f>
        <x:v>Incomplete</x:v>
      </x:c>
    </x:row>
    <x:row r="6" ht="15" hidden="0" customHeight="1">
      <x:c r="A6" s="17" t="str">
        <x:v>FU-02</x:v>
      </x:c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>
        <x:f>IF(B6="","Incomplete",IF(G6="","Evidence required",IF(OR(H6="",I6&lt;&gt;"Accepted"),"Review required","Complete")))</x:f>
        <x:v>Incomplete</x:v>
      </x:c>
    </x:row>
    <x:row r="7" ht="15" hidden="0" customHeight="1">
      <x:c r="A7" s="17" t="str">
        <x:v>FU-03</x:v>
      </x:c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>
        <x:f>IF(B7="","Incomplete",IF(G7="","Evidence required",IF(OR(H7="",I7&lt;&gt;"Accepted"),"Review required","Complete")))</x:f>
        <x:v>Incomplete</x:v>
      </x:c>
    </x:row>
    <x:row r="8" ht="15" hidden="0" customHeight="1">
      <x:c r="A8" s="17" t="str">
        <x:v>FU-04</x:v>
      </x:c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>
        <x:f>IF(B8="","Incomplete",IF(G8="","Evidence required",IF(OR(H8="",I8&lt;&gt;"Accepted"),"Review required","Complete")))</x:f>
        <x:v>Incomplete</x:v>
      </x:c>
    </x:row>
    <x:row r="9" ht="15" hidden="0" customHeight="1">
      <x:c r="A9" s="17" t="str">
        <x:v>FU-05</x:v>
      </x:c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>
        <x:f>IF(B9="","Incomplete",IF(G9="","Evidence required",IF(OR(H9="",I9&lt;&gt;"Accepted"),"Review required","Complete")))</x:f>
        <x:v>Incomplete</x:v>
      </x:c>
    </x:row>
    <x:row r="10" ht="15" hidden="0" customHeight="1">
      <x:c r="A10" s="17" t="str">
        <x:v>FU-06</x:v>
      </x:c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>
        <x:f>IF(B10="","Incomplete",IF(G10="","Evidence required",IF(OR(H10="",I10&lt;&gt;"Accepted"),"Review required","Complete")))</x:f>
        <x:v>Incomplete</x:v>
      </x:c>
    </x:row>
  </x:sheetData>
  <x:mergeCells>
    <x:mergeCell ref="A1:J1"/>
    <x:mergeCell ref="A2:J2"/>
  </x:mergeCells>
  <x:conditionalFormatting sqref="J5:J10">
    <x:cfRule type="containsText" dxfId="12" priority="1" operator="containsText" text="Incomplete"/>
    <x:cfRule type="containsText" dxfId="13" priority="2" operator="containsText" text="Evidence required"/>
    <x:cfRule type="containsText" dxfId="14" priority="3" operator="containsText" text="Review required"/>
    <x:cfRule type="containsText" dxfId="15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0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Single-Use Systems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Assess the configured and used system across design, integrity, sterilization, compatibility and E&amp;L applicability.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15" hidden="0" customHeight="1">
      <x:c r="A4" s="11" t="str">
        <x:v>ID</x:v>
      </x:c>
      <x:c r="B4" s="11" t="str">
        <x:v>Item / decision object</x:v>
      </x:c>
      <x:c r="C4" s="11" t="str">
        <x:v>Defined scope / version</x:v>
      </x:c>
      <x:c r="D4" s="11" t="str">
        <x:v>Evidence held / current state</x:v>
      </x:c>
      <x:c r="E4" s="11" t="str">
        <x:v>Gap / potential impact</x:v>
      </x:c>
      <x:c r="F4" s="11" t="str">
        <x:v>Owner</x:v>
      </x:c>
      <x:c r="G4" s="11" t="str">
        <x:v>Evidence ID</x:v>
      </x:c>
      <x:c r="H4" s="11" t="str">
        <x:v>Reviewer role</x:v>
      </x:c>
      <x:c r="I4" s="11" t="str">
        <x:v>Review state</x:v>
      </x:c>
      <x:c r="J4" s="11" t="str">
        <x:v>Status</x:v>
      </x:c>
    </x:row>
    <x:row r="5" ht="15" hidden="0" customHeight="1">
      <x:c r="A5" s="17" t="str">
        <x:v>SI-01</x:v>
      </x:c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>
        <x:f>IF(B5="","Incomplete",IF(G5="","Evidence required",IF(OR(H5="",I5&lt;&gt;"Accepted"),"Review required","Complete")))</x:f>
        <x:v>Incomplete</x:v>
      </x:c>
    </x:row>
    <x:row r="6" ht="15" hidden="0" customHeight="1">
      <x:c r="A6" s="17" t="str">
        <x:v>SI-02</x:v>
      </x:c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>
        <x:f>IF(B6="","Incomplete",IF(G6="","Evidence required",IF(OR(H6="",I6&lt;&gt;"Accepted"),"Review required","Complete")))</x:f>
        <x:v>Incomplete</x:v>
      </x:c>
    </x:row>
    <x:row r="7" ht="15" hidden="0" customHeight="1">
      <x:c r="A7" s="17" t="str">
        <x:v>SI-03</x:v>
      </x:c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>
        <x:f>IF(B7="","Incomplete",IF(G7="","Evidence required",IF(OR(H7="",I7&lt;&gt;"Accepted"),"Review required","Complete")))</x:f>
        <x:v>Incomplete</x:v>
      </x:c>
    </x:row>
    <x:row r="8" ht="15" hidden="0" customHeight="1">
      <x:c r="A8" s="17" t="str">
        <x:v>SI-04</x:v>
      </x:c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>
        <x:f>IF(B8="","Incomplete",IF(G8="","Evidence required",IF(OR(H8="",I8&lt;&gt;"Accepted"),"Review required","Complete")))</x:f>
        <x:v>Incomplete</x:v>
      </x:c>
    </x:row>
    <x:row r="9" ht="15" hidden="0" customHeight="1">
      <x:c r="A9" s="17" t="str">
        <x:v>SI-05</x:v>
      </x:c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>
        <x:f>IF(B9="","Incomplete",IF(G9="","Evidence required",IF(OR(H9="",I9&lt;&gt;"Accepted"),"Review required","Complete")))</x:f>
        <x:v>Incomplete</x:v>
      </x:c>
    </x:row>
    <x:row r="10" ht="15" hidden="0" customHeight="1">
      <x:c r="A10" s="17" t="str">
        <x:v>SI-06</x:v>
      </x:c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>
        <x:f>IF(B10="","Incomplete",IF(G10="","Evidence required",IF(OR(H10="",I10&lt;&gt;"Accepted"),"Review required","Complete")))</x:f>
        <x:v>Incomplete</x:v>
      </x:c>
    </x:row>
  </x:sheetData>
  <x:mergeCells>
    <x:mergeCell ref="A1:J1"/>
    <x:mergeCell ref="A2:J2"/>
  </x:mergeCells>
  <x:conditionalFormatting sqref="J5:J10">
    <x:cfRule type="containsText" dxfId="16" priority="1" operator="containsText" text="Incomplete"/>
    <x:cfRule type="containsText" dxfId="17" priority="2" operator="containsText" text="Evidence required"/>
    <x:cfRule type="containsText" dxfId="18" priority="3" operator="containsText" text="Review required"/>
    <x:cfRule type="containsText" dxfId="19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0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Change Assessment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Translate exact differences into qualification, comparability, validation, filing, continuity and implementation questions.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15" hidden="0" customHeight="1">
      <x:c r="A4" s="11" t="str">
        <x:v>ID</x:v>
      </x:c>
      <x:c r="B4" s="11" t="str">
        <x:v>Item / decision object</x:v>
      </x:c>
      <x:c r="C4" s="11" t="str">
        <x:v>Defined scope / version</x:v>
      </x:c>
      <x:c r="D4" s="11" t="str">
        <x:v>Evidence held / current state</x:v>
      </x:c>
      <x:c r="E4" s="11" t="str">
        <x:v>Gap / potential impact</x:v>
      </x:c>
      <x:c r="F4" s="11" t="str">
        <x:v>Owner</x:v>
      </x:c>
      <x:c r="G4" s="11" t="str">
        <x:v>Evidence ID</x:v>
      </x:c>
      <x:c r="H4" s="11" t="str">
        <x:v>Reviewer role</x:v>
      </x:c>
      <x:c r="I4" s="11" t="str">
        <x:v>Review state</x:v>
      </x:c>
      <x:c r="J4" s="11" t="str">
        <x:v>Status</x:v>
      </x:c>
    </x:row>
    <x:row r="5" ht="15" hidden="0" customHeight="1">
      <x:c r="A5" s="17" t="str">
        <x:v>CH-01</x:v>
      </x:c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>
        <x:f>IF(B5="","Incomplete",IF(G5="","Evidence required",IF(OR(H5="",I5&lt;&gt;"Accepted"),"Review required","Complete")))</x:f>
        <x:v>Incomplete</x:v>
      </x:c>
    </x:row>
    <x:row r="6" ht="15" hidden="0" customHeight="1">
      <x:c r="A6" s="17" t="str">
        <x:v>CH-02</x:v>
      </x:c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>
        <x:f>IF(B6="","Incomplete",IF(G6="","Evidence required",IF(OR(H6="",I6&lt;&gt;"Accepted"),"Review required","Complete")))</x:f>
        <x:v>Incomplete</x:v>
      </x:c>
    </x:row>
    <x:row r="7" ht="15" hidden="0" customHeight="1">
      <x:c r="A7" s="17" t="str">
        <x:v>CH-03</x:v>
      </x:c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>
        <x:f>IF(B7="","Incomplete",IF(G7="","Evidence required",IF(OR(H7="",I7&lt;&gt;"Accepted"),"Review required","Complete")))</x:f>
        <x:v>Incomplete</x:v>
      </x:c>
    </x:row>
    <x:row r="8" ht="15" hidden="0" customHeight="1">
      <x:c r="A8" s="17" t="str">
        <x:v>CH-04</x:v>
      </x:c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>
        <x:f>IF(B8="","Incomplete",IF(G8="","Evidence required",IF(OR(H8="",I8&lt;&gt;"Accepted"),"Review required","Complete")))</x:f>
        <x:v>Incomplete</x:v>
      </x:c>
    </x:row>
    <x:row r="9" ht="15" hidden="0" customHeight="1">
      <x:c r="A9" s="17" t="str">
        <x:v>CH-05</x:v>
      </x:c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>
        <x:f>IF(B9="","Incomplete",IF(G9="","Evidence required",IF(OR(H9="",I9&lt;&gt;"Accepted"),"Review required","Complete")))</x:f>
        <x:v>Incomplete</x:v>
      </x:c>
    </x:row>
    <x:row r="10" ht="15" hidden="0" customHeight="1">
      <x:c r="A10" s="17" t="str">
        <x:v>CH-06</x:v>
      </x:c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>
        <x:f>IF(B10="","Incomplete",IF(G10="","Evidence required",IF(OR(H10="",I10&lt;&gt;"Accepted"),"Review required","Complete")))</x:f>
        <x:v>Incomplete</x:v>
      </x:c>
    </x:row>
  </x:sheetData>
  <x:mergeCells>
    <x:mergeCell ref="A1:J1"/>
    <x:mergeCell ref="A2:J2"/>
  </x:mergeCells>
  <x:conditionalFormatting sqref="J5:J10">
    <x:cfRule type="containsText" dxfId="20" priority="1" operator="containsText" text="Incomplete"/>
    <x:cfRule type="containsText" dxfId="21" priority="2" operator="containsText" text="Evidence required"/>
    <x:cfRule type="containsText" dxfId="22" priority="3" operator="containsText" text="Review required"/>
    <x:cfRule type="containsText" dxfId="23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0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Evidence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Every evidence object needs a controlled ID, version, locator, limitation, owner and reviewer state.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15" hidden="0" customHeight="1">
      <x:c r="A4" s="11" t="str">
        <x:v>ID</x:v>
      </x:c>
      <x:c r="B4" s="11" t="str">
        <x:v>Item / decision object</x:v>
      </x:c>
      <x:c r="C4" s="11" t="str">
        <x:v>Defined scope / version</x:v>
      </x:c>
      <x:c r="D4" s="11" t="str">
        <x:v>Evidence held / current state</x:v>
      </x:c>
      <x:c r="E4" s="11" t="str">
        <x:v>Gap / potential impact</x:v>
      </x:c>
      <x:c r="F4" s="11" t="str">
        <x:v>Owner</x:v>
      </x:c>
      <x:c r="G4" s="11" t="str">
        <x:v>Evidence ID</x:v>
      </x:c>
      <x:c r="H4" s="11" t="str">
        <x:v>Reviewer role</x:v>
      </x:c>
      <x:c r="I4" s="11" t="str">
        <x:v>Review state</x:v>
      </x:c>
      <x:c r="J4" s="11" t="str">
        <x:v>Status</x:v>
      </x:c>
    </x:row>
    <x:row r="5" ht="15" hidden="0" customHeight="1">
      <x:c r="A5" s="17" t="str">
        <x:v>EV-01</x:v>
      </x:c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>
        <x:f>IF(B5="","Incomplete",IF(G5="","Evidence required",IF(OR(H5="",I5&lt;&gt;"Accepted"),"Review required","Complete")))</x:f>
        <x:v>Incomplete</x:v>
      </x:c>
    </x:row>
    <x:row r="6" ht="15" hidden="0" customHeight="1">
      <x:c r="A6" s="17" t="str">
        <x:v>EV-02</x:v>
      </x:c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>
        <x:f>IF(B6="","Incomplete",IF(G6="","Evidence required",IF(OR(H6="",I6&lt;&gt;"Accepted"),"Review required","Complete")))</x:f>
        <x:v>Incomplete</x:v>
      </x:c>
    </x:row>
    <x:row r="7" ht="15" hidden="0" customHeight="1">
      <x:c r="A7" s="17" t="str">
        <x:v>EV-03</x:v>
      </x:c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>
        <x:f>IF(B7="","Incomplete",IF(G7="","Evidence required",IF(OR(H7="",I7&lt;&gt;"Accepted"),"Review required","Complete")))</x:f>
        <x:v>Incomplete</x:v>
      </x:c>
    </x:row>
    <x:row r="8" ht="15" hidden="0" customHeight="1">
      <x:c r="A8" s="17" t="str">
        <x:v>EV-04</x:v>
      </x:c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>
        <x:f>IF(B8="","Incomplete",IF(G8="","Evidence required",IF(OR(H8="",I8&lt;&gt;"Accepted"),"Review required","Complete")))</x:f>
        <x:v>Incomplete</x:v>
      </x:c>
    </x:row>
    <x:row r="9" ht="15" hidden="0" customHeight="1">
      <x:c r="A9" s="17" t="str">
        <x:v>EV-05</x:v>
      </x:c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>
        <x:f>IF(B9="","Incomplete",IF(G9="","Evidence required",IF(OR(H9="",I9&lt;&gt;"Accepted"),"Review required","Complete")))</x:f>
        <x:v>Incomplete</x:v>
      </x:c>
    </x:row>
    <x:row r="10" ht="15" hidden="0" customHeight="1">
      <x:c r="A10" s="17" t="str">
        <x:v>EV-06</x:v>
      </x:c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>
        <x:f>IF(B10="","Incomplete",IF(G10="","Evidence required",IF(OR(H10="",I10&lt;&gt;"Accepted"),"Review required","Complete")))</x:f>
        <x:v>Incomplete</x:v>
      </x:c>
    </x:row>
    <x:row r="11" ht="15" hidden="0" customHeight="1">
      <x:c r="A11" s="17" t="str">
        <x:v>EV-07</x:v>
      </x:c>
      <x:c r="B11" s="17" t="str"/>
      <x:c r="C11" s="17" t="str"/>
      <x:c r="D11" s="17" t="str"/>
      <x:c r="E11" s="17" t="str"/>
      <x:c r="F11" s="17" t="str"/>
      <x:c r="G11" s="17" t="str"/>
      <x:c r="H11" s="17" t="str"/>
      <x:c r="I11" s="17" t="str"/>
      <x:c r="J11" s="17" t="str">
        <x:f>IF(B11="","Incomplete",IF(G11="","Evidence required",IF(OR(H11="",I11&lt;&gt;"Accepted"),"Review required","Complete")))</x:f>
        <x:v>Incomplete</x:v>
      </x:c>
    </x:row>
    <x:row r="12" ht="15" hidden="0" customHeight="1">
      <x:c r="A12" s="17" t="str">
        <x:v>EV-08</x:v>
      </x:c>
      <x:c r="B12" s="17" t="str"/>
      <x:c r="C12" s="17" t="str"/>
      <x:c r="D12" s="17" t="str"/>
      <x:c r="E12" s="17" t="str"/>
      <x:c r="F12" s="17" t="str"/>
      <x:c r="G12" s="17" t="str"/>
      <x:c r="H12" s="17" t="str"/>
      <x:c r="I12" s="17" t="str"/>
      <x:c r="J12" s="17" t="str">
        <x:f>IF(B12="","Incomplete",IF(G12="","Evidence required",IF(OR(H12="",I12&lt;&gt;"Accepted"),"Review required","Complete")))</x:f>
        <x:v>Incomplete</x:v>
      </x:c>
    </x:row>
    <x:row r="13" ht="15" hidden="0" customHeight="1">
      <x:c r="A13" s="17" t="str">
        <x:v>EV-09</x:v>
      </x:c>
      <x:c r="B13" s="17" t="str"/>
      <x:c r="C13" s="17" t="str"/>
      <x:c r="D13" s="17" t="str"/>
      <x:c r="E13" s="17" t="str"/>
      <x:c r="F13" s="17" t="str"/>
      <x:c r="G13" s="17" t="str"/>
      <x:c r="H13" s="17" t="str"/>
      <x:c r="I13" s="17" t="str"/>
      <x:c r="J13" s="17" t="str">
        <x:f>IF(B13="","Incomplete",IF(G13="","Evidence required",IF(OR(H13="",I13&lt;&gt;"Accepted"),"Review required","Complete")))</x:f>
        <x:v>Incomplete</x:v>
      </x:c>
    </x:row>
    <x:row r="14" ht="15" hidden="0" customHeight="1">
      <x:c r="A14" s="17" t="str">
        <x:v>EV-10</x:v>
      </x:c>
      <x:c r="B14" s="17" t="str"/>
      <x:c r="C14" s="17" t="str"/>
      <x:c r="D14" s="17" t="str"/>
      <x:c r="E14" s="17" t="str"/>
      <x:c r="F14" s="17" t="str"/>
      <x:c r="G14" s="17" t="str"/>
      <x:c r="H14" s="17" t="str"/>
      <x:c r="I14" s="17" t="str"/>
      <x:c r="J14" s="17" t="str">
        <x:f>IF(B14="","Incomplete",IF(G14="","Evidence required",IF(OR(H14="",I14&lt;&gt;"Accepted"),"Review required","Complete")))</x:f>
        <x:v>Incomplete</x:v>
      </x:c>
    </x:row>
  </x:sheetData>
  <x:mergeCells>
    <x:mergeCell ref="A1:J1"/>
    <x:mergeCell ref="A2:J2"/>
  </x:mergeCells>
  <x:conditionalFormatting sqref="J5:J14">
    <x:cfRule type="containsText" dxfId="24" priority="1" operator="containsText" text="Incomplete"/>
    <x:cfRule type="containsText" dxfId="25" priority="2" operator="containsText" text="Evidence required"/>
    <x:cfRule type="containsText" dxfId="26" priority="3" operator="containsText" text="Review required"/>
    <x:cfRule type="containsText" dxfId="27" priority="4" operator="containsText" text="Complete"/>
  </x:conditionalFormatting>
  <x:dataValidations count="1">
    <x:dataValidation type="list" sqref="I5:I14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3" hidden="0" customWidth="1"/>
    <x:col min="3" max="3" width="35" hidden="0" customWidth="1"/>
    <x:col min="4" max="4" width="38" hidden="0" customWidth="1"/>
    <x:col min="5" max="5" width="14" hidden="0" customWidth="1"/>
    <x:col min="6" max="6" width="26" hidden="0" customWidth="1"/>
    <x:col min="7" max="7" width="18" hidden="0" customWidth="1"/>
    <x:col min="8" max="8" width="48" hidden="0" customWidth="1"/>
  </x:cols>
  <x:sheetData>
    <x:row r="1" ht="32" customHeight="1">
      <x:c r="A1" s="3" t="str">
        <x:v>Review &amp; Actions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Close an action only with evidence and an authorized decision; urgency and form completion are not closure.</x:v>
      </x:c>
      <x:c r="B2" s="7"/>
      <x:c r="C2" s="7"/>
      <x:c r="D2" s="7"/>
      <x:c r="E2" s="7"/>
      <x:c r="F2" s="7"/>
      <x:c r="G2" s="7"/>
      <x:c r="H2" s="7"/>
    </x:row>
    <x:row r="4" ht="31" customHeight="1">
      <x:c r="A4" s="11" t="str">
        <x:v>Action ID</x:v>
      </x:c>
      <x:c r="B4" s="11" t="str">
        <x:v>Action / decision</x:v>
      </x:c>
      <x:c r="C4" s="11" t="str">
        <x:v>Linked IDs</x:v>
      </x:c>
      <x:c r="D4" s="11" t="str">
        <x:v>Owner / reviewer</x:v>
      </x:c>
      <x:c r="E4" s="11" t="str">
        <x:v>Risk</x:v>
      </x:c>
      <x:c r="F4" s="11" t="str">
        <x:v>Due gate</x:v>
      </x:c>
      <x:c r="G4" s="11" t="str">
        <x:v>Status</x:v>
      </x:c>
      <x:c r="H4" s="11" t="str">
        <x:v>Closure evidence / acceptance</x:v>
      </x:c>
    </x:row>
    <x:row r="5" ht="60" customHeight="1">
      <x:c r="A5" s="17" t="str">
        <x:v>ACT-01</x:v>
      </x:c>
      <x:c r="B5" s="17" t="str"/>
      <x:c r="C5" s="17" t="str"/>
      <x:c r="D5" s="17" t="str"/>
      <x:c r="E5" s="17" t="str"/>
      <x:c r="F5" s="17" t="str"/>
      <x:c r="G5" s="17" t="str">
        <x:v>Not started</x:v>
      </x:c>
      <x:c r="H5" s="17" t="str"/>
    </x:row>
    <x:row r="6" ht="60" customHeight="1">
      <x:c r="A6" s="17" t="str">
        <x:v>ACT-02</x:v>
      </x:c>
      <x:c r="B6" s="17" t="str"/>
      <x:c r="C6" s="17" t="str"/>
      <x:c r="D6" s="17" t="str"/>
      <x:c r="E6" s="17" t="str"/>
      <x:c r="F6" s="17" t="str"/>
      <x:c r="G6" s="17" t="str">
        <x:v>Not started</x:v>
      </x:c>
      <x:c r="H6" s="17" t="str"/>
    </x:row>
    <x:row r="7" ht="60" customHeight="1">
      <x:c r="A7" s="17" t="str">
        <x:v>ACT-03</x:v>
      </x:c>
      <x:c r="B7" s="17" t="str"/>
      <x:c r="C7" s="17" t="str"/>
      <x:c r="D7" s="17" t="str"/>
      <x:c r="E7" s="17" t="str"/>
      <x:c r="F7" s="17" t="str"/>
      <x:c r="G7" s="17" t="str">
        <x:v>Not started</x:v>
      </x:c>
      <x:c r="H7" s="17" t="str"/>
    </x:row>
    <x:row r="8" ht="60" customHeight="1">
      <x:c r="A8" s="17" t="str">
        <x:v>ACT-04</x:v>
      </x:c>
      <x:c r="B8" s="17" t="str"/>
      <x:c r="C8" s="17" t="str"/>
      <x:c r="D8" s="17" t="str"/>
      <x:c r="E8" s="17" t="str"/>
      <x:c r="F8" s="17" t="str"/>
      <x:c r="G8" s="17" t="str">
        <x:v>Not started</x:v>
      </x:c>
      <x:c r="H8" s="17" t="str"/>
    </x:row>
    <x:row r="9" ht="60" customHeight="1">
      <x:c r="A9" s="17" t="str">
        <x:v>ACT-05</x:v>
      </x:c>
      <x:c r="B9" s="17" t="str"/>
      <x:c r="C9" s="17" t="str"/>
      <x:c r="D9" s="17" t="str"/>
      <x:c r="E9" s="17" t="str"/>
      <x:c r="F9" s="17" t="str"/>
      <x:c r="G9" s="17" t="str">
        <x:v>Not started</x:v>
      </x:c>
      <x:c r="H9" s="17" t="str"/>
    </x:row>
  </x:sheetData>
  <x:mergeCells>
    <x:mergeCell ref="A1:H1"/>
    <x:mergeCell ref="A2:H2"/>
  </x:mergeCells>
  <x:conditionalFormatting sqref="G5:G9">
    <x:cfRule type="containsText" dxfId="28" priority="1" operator="containsText" text="Open"/>
  </x:conditionalFormatting>
  <x:dataValidations count="2">
    <x:dataValidation type="list" sqref="E5:E9">
      <x:formula1>"Low,Medium,High,Critical"</x:formula1>
    </x:dataValidation>
    <x:dataValidation type="list" sqref="G5:G9">
      <x:formula1>"Not started,Open,Closed,Deferred"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48" hidden="0" customWidth="1"/>
    <x:col min="4" max="4" width="18" hidden="0" customWidth="1"/>
    <x:col min="5" max="5" width="60" hidden="0" customWidth="1"/>
    <x:col min="6" max="6" width="62" hidden="0" customWidth="1"/>
  </x:cols>
  <x:sheetData>
    <x:row r="1" ht="32" customHeight="1">
      <x:c r="A1" s="3" t="str">
        <x:v>Sources &amp; Control</x:v>
      </x:c>
      <x:c r="B1" s="3"/>
      <x:c r="C1" s="3"/>
      <x:c r="D1" s="3"/>
      <x:c r="E1" s="3"/>
      <x:c r="F1" s="3"/>
    </x:row>
    <x:row r="2" ht="30" customHeight="1">
      <x:c r="A2" s="7" t="str">
        <x:v>Official-source locators, applicability, limitations and review record for this under-review package.</x:v>
      </x:c>
      <x:c r="B2" s="7"/>
      <x:c r="C2" s="7"/>
      <x:c r="D2" s="7"/>
      <x:c r="E2" s="7"/>
      <x:c r="F2" s="7"/>
    </x:row>
    <x:row r="4" ht="31" customHeight="1">
      <x:c r="A4" s="11" t="str">
        <x:v>Source ID</x:v>
      </x:c>
      <x:c r="B4" s="11" t="str">
        <x:v>Publisher</x:v>
      </x:c>
      <x:c r="C4" s="11" t="str">
        <x:v>Title</x:v>
      </x:c>
      <x:c r="D4" s="11" t="str">
        <x:v>Edition</x:v>
      </x:c>
      <x:c r="E4" s="11" t="str">
        <x:v>Official URL</x:v>
      </x:c>
      <x:c r="F4" s="11" t="str">
        <x:v>Applicability and limitations</x:v>
      </x:c>
    </x:row>
    <x:row r="5" ht="50" customHeight="1">
      <x:c r="A5" s="17" t="str">
        <x:v>ICH-Q11</x:v>
      </x:c>
      <x:c r="B5" s="17" t="str">
        <x:v>ICH</x:v>
      </x:c>
      <x:c r="C5" s="17" t="str">
        <x:v>Development and Manufacture of Drug Substances Q11</x:v>
      </x:c>
      <x:c r="D5" s="17" t="str">
        <x:v>Step 4</x:v>
      </x:c>
      <x:c r="E5" s="17" t="str">
        <x:v>https://database.ich.org/sites/default/files/Q11_Guideline.pdf</x:v>
      </x:c>
      <x:c r="F5" s="17" t="str">
        <x:v>No universal material criticality, specification, test, range, or criterion.</x:v>
      </x:c>
    </x:row>
    <x:row r="6" ht="50" customHeight="1">
      <x:c r="A6" s="17" t="str">
        <x:v>ICH-Q9-R1</x:v>
      </x:c>
      <x:c r="B6" s="17" t="str">
        <x:v>ICH</x:v>
      </x:c>
      <x:c r="C6" s="17" t="str">
        <x:v>Quality Risk Management Q9(R1)</x:v>
      </x:c>
      <x:c r="D6" s="17" t="str">
        <x:v>Step 4</x:v>
      </x:c>
      <x:c r="E6" s="17" t="str">
        <x:v>https://database.ich.org/sites/default/files/ICH_Q9-R1_Guideline_Step4_2022_1219.pdf</x:v>
      </x:c>
      <x:c r="F6" s="17" t="str">
        <x:v>Risk ranking does not create missing evidence or authorization.</x:v>
      </x:c>
    </x:row>
    <x:row r="7" ht="50" customHeight="1">
      <x:c r="A7" s="17" t="str">
        <x:v>ICH-Q10</x:v>
      </x:c>
      <x:c r="B7" s="17" t="str">
        <x:v>ICH</x:v>
      </x:c>
      <x:c r="C7" s="17" t="str">
        <x:v>Pharmaceutical Quality System Q10</x:v>
      </x:c>
      <x:c r="D7" s="17" t="str">
        <x:v>Step 4</x:v>
      </x:c>
      <x:c r="E7" s="17" t="str">
        <x:v>https://database.ich.org/sites/default/files/Q10_Guideline.pdf</x:v>
      </x:c>
      <x:c r="F7" s="17" t="str">
        <x:v>PQS and supplier/change governance do not establish material suitability.</x:v>
      </x:c>
    </x:row>
    <x:row r="8" ht="50" customHeight="1">
      <x:c r="A8" s="17" t="str">
        <x:v>ICH-Q5A-R2</x:v>
      </x:c>
      <x:c r="B8" s="17" t="str">
        <x:v>ICH</x:v>
      </x:c>
      <x:c r="C8" s="17" t="str">
        <x:v>Viral Safety Evaluation of Biotechnology Products Q5A(R2)</x:v>
      </x:c>
      <x:c r="D8" s="17" t="str">
        <x:v>Step 4</x:v>
      </x:c>
      <x:c r="E8" s="17" t="str">
        <x:v>https://database.ich.org/sites/default/files/ICH_Q5A%28R2%29_Guideline_2023_1101.pdf</x:v>
      </x:c>
      <x:c r="F8" s="17" t="str">
        <x:v>Apply within product/cell-substrate scope; no blanket viral-safety conclusion.</x:v>
      </x:c>
    </x:row>
    <x:row r="9" ht="50" customHeight="1">
      <x:c r="A9" s="17" t="str">
        <x:v>ICH-Q5E</x:v>
      </x:c>
      <x:c r="B9" s="17" t="str">
        <x:v>ICH</x:v>
      </x:c>
      <x:c r="C9" s="17" t="str">
        <x:v>Comparability of Biotechnological/Biological Products Q5E</x:v>
      </x:c>
      <x:c r="D9" s="17" t="str">
        <x:v>Step 4</x:v>
      </x:c>
      <x:c r="E9" s="17" t="str">
        <x:v>https://database.ich.org/sites/default/files/Q5E%20Guideline.pdf</x:v>
      </x:c>
      <x:c r="F9" s="17" t="str">
        <x:v>A material change may require product evidence; conformance is not a complete conclusion.</x:v>
      </x:c>
    </x:row>
    <x:row r="10" ht="50" customHeight="1">
      <x:c r="A10" s="17" t="str">
        <x:v>EU-GMP-ANNEX1-2022</x:v>
      </x:c>
      <x:c r="B10" s="17" t="str">
        <x:v>European Commission</x:v>
      </x:c>
      <x:c r="C10" s="17" t="str">
        <x:v>EudraLex Volume 4 Annex 1</x:v>
      </x:c>
      <x:c r="D10" s="17" t="str">
        <x:v>2022 revision</x:v>
      </x:c>
      <x:c r="E10" s="17" t="str">
        <x:v>https://health.ec.europa.eu/medicinal-products/eudralex/eudralex-volume-4_en</x:v>
      </x:c>
      <x:c r="F10" s="17" t="str">
        <x:v>Apply only to relevant sterile-manufacturing scope; no universal SUS design or test plan.</x:v>
      </x:c>
    </x:row>
    <x:row r="11" ht="50" customHeight="1">
      <x:c r="A11" s="17" t="str">
        <x:v>WHO-TRS-996-ANNEX3</x:v>
      </x:c>
      <x:c r="B11" s="17" t="str">
        <x:v>WHO</x:v>
      </x:c>
      <x:c r="C11" s="17" t="str">
        <x:v>GMP for biological products, TRS 996 Annex 3</x:v>
      </x:c>
      <x:c r="D11" s="17" t="str">
        <x:v>2016</x:v>
      </x:c>
      <x:c r="E11" s="17" t="str">
        <x:v>https://www.who.int/publications/m/item/trs996-annex3</x:v>
      </x:c>
      <x:c r="F11" s="17" t="str">
        <x:v>Confirm national implementation; no product-specific material controls or criteria.</x:v>
      </x:c>
    </x:row>
    <x:row r="12" ht="50" customHeight="1">
      <x:c r="A12" s="17" t="str">
        <x:v>FDA-QUALITY-AGREEMENTS-2016</x:v>
      </x:c>
      <x:c r="B12" s="17" t="str">
        <x:v>FDA</x:v>
      </x:c>
      <x:c r="C12" s="17" t="str">
        <x:v>Contract Manufacturing Arrangements for Drugs: Quality Agreements</x:v>
      </x:c>
      <x:c r="D12" s="17" t="str">
        <x:v>Final guidance</x:v>
      </x:c>
      <x:c r="E12" s="17" t="str">
        <x:v>https://www.fda.gov/media/86193/download</x:v>
      </x:c>
      <x:c r="F12" s="17" t="str">
        <x:v>Retain owner/contractor responsibilities; a contract does not qualify a material.</x:v>
      </x:c>
    </x:row>
    <x:row r="13" ht="50" customHeight="1">
      <x:c r="A13" s="17"/>
      <x:c r="B13" s="17"/>
      <x:c r="C13" s="17"/>
      <x:c r="D13" s="17"/>
      <x:c r="E13" s="17"/>
      <x:c r="F13" s="17"/>
    </x:row>
    <x:row r="14" ht="50" customHeight="1">
      <x:c r="A14" s="17"/>
      <x:c r="B14" s="17"/>
      <x:c r="C14" s="17"/>
      <x:c r="D14" s="17"/>
      <x:c r="E14" s="17"/>
      <x:c r="F14" s="17"/>
    </x:row>
    <x:row r="15" ht="50" customHeight="1">
      <x:c r="A15" s="22" t="str">
        <x:v>Control field</x:v>
      </x:c>
      <x:c r="B15" s="22" t="str">
        <x:v>Value</x:v>
      </x:c>
      <x:c r="C15" s="17"/>
      <x:c r="D15" s="17"/>
      <x:c r="E15" s="17"/>
      <x:c r="F15" s="17"/>
    </x:row>
    <x:row r="16" ht="50" customHeight="1">
      <x:c r="A16" s="17" t="str">
        <x:v>Content version</x:v>
      </x:c>
      <x:c r="B16" s="17" t="str">
        <x:v>1.0.0-review</x:v>
      </x:c>
      <x:c r="C16" s="17"/>
      <x:c r="D16" s="17"/>
      <x:c r="E16" s="17"/>
      <x:c r="F16" s="17"/>
    </x:row>
    <x:row r="17" ht="50" customHeight="1">
      <x:c r="A17" s="17" t="str">
        <x:v>Review status</x:v>
      </x:c>
      <x:c r="B17" s="17" t="str">
        <x:v>under-review</x:v>
      </x:c>
      <x:c r="C17" s="17"/>
      <x:c r="D17" s="17"/>
      <x:c r="E17" s="17"/>
      <x:c r="F17" s="17"/>
    </x:row>
    <x:row r="18" ht="50" customHeight="1">
      <x:c r="A18" s="17" t="str">
        <x:v>Reviewed by role</x:v>
      </x:c>
      <x:c r="B18" s="17" t="str">
        <x:v>Not yet recorded</x:v>
      </x:c>
      <x:c r="C18" s="17"/>
      <x:c r="D18" s="17"/>
      <x:c r="E18" s="17"/>
      <x:c r="F18" s="17"/>
    </x:row>
    <x:row r="19" ht="50" customHeight="1">
      <x:c r="A19" s="17" t="str">
        <x:v>Last reviewed</x:v>
      </x:c>
      <x:c r="B19" s="17" t="str">
        <x:v>Not yet recorded</x:v>
      </x:c>
      <x:c r="C19" s="17"/>
      <x:c r="D19" s="17"/>
      <x:c r="E19" s="17"/>
      <x:c r="F19" s="17"/>
    </x:row>
    <x:row r="20" ht="50" customHeight="1">
      <x:c r="A20" s="17" t="str">
        <x:v>Review due</x:v>
      </x:c>
      <x:c r="B20" s="17" t="str">
        <x:v>Before controlled use or after source/material scope change</x:v>
      </x:c>
      <x:c r="C20" s="17"/>
      <x:c r="D20" s="17"/>
      <x:c r="E20" s="17"/>
      <x:c r="F20" s="17"/>
    </x:row>
    <x:row r="21" ht="50" customHeight="1">
      <x:c r="A21" s="17" t="str">
        <x:v>Decision boundary</x:v>
      </x:c>
      <x:c r="B21" s="17" t="str">
        <x:v>Workbook completeness is not material, SUS, change, regulatory or batch approval.</x:v>
      </x:c>
      <x:c r="C21" s="17"/>
      <x:c r="D21" s="17"/>
      <x:c r="E21" s="17"/>
      <x:c r="F21" s="17"/>
    </x:row>
    <x:row r="22" ht="50" customHeight="1">
      <x:c r="A22" s="17" t="str">
        <x:v>Critical limitation</x:v>
      </x:c>
      <x:c r="B22" s="17" t="str">
        <x:v>Vendor extractables data is not a product-specific leachables conclusion.</x:v>
      </x:c>
      <x:c r="C22" s="17"/>
      <x:c r="D22" s="17"/>
      <x:c r="E22" s="17"/>
      <x:c r="F22" s="17"/>
    </x:row>
    <x:row r="23" ht="50" customHeight="1">
      <x:c r="A23" s="17" t="str">
        <x:v>Critical limitation</x:v>
      </x:c>
      <x:c r="B23" s="17" t="str">
        <x:v>An approved supplier is not automatic approval of a changed site, sub-tier, formulation, sterilization route or configuration.</x:v>
      </x:c>
      <x:c r="C23" s="17"/>
      <x:c r="D23" s="17"/>
      <x:c r="E23" s="17"/>
      <x:c r="F23" s="17"/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32" customHeight="1">
      <x:c r="A1" s="3" t="str">
        <x:v>Lists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Controlled dropdown values used by the working sheets.</x:v>
      </x:c>
      <x:c r="B2" s="7"/>
      <x:c r="C2" s="7"/>
      <x:c r="D2" s="7"/>
      <x:c r="E2" s="7"/>
      <x:c r="F2" s="7"/>
      <x:c r="G2" s="7"/>
      <x:c r="H2" s="7"/>
    </x:row>
    <x:row r="4" ht="31" customHeight="1">
      <x:c r="A4" s="11" t="str">
        <x:v>Review state</x:v>
      </x:c>
      <x:c r="B4" s="11" t="str">
        <x:v>Risk</x:v>
      </x:c>
      <x:c r="C4" s="11" t="str">
        <x:v>Contact</x:v>
      </x:c>
      <x:c r="D4" s="11" t="str">
        <x:v>Decision</x:v>
      </x:c>
    </x:row>
    <x:row r="5">
      <x:c r="A5" s="19" t="str">
        <x:v>Not started</x:v>
      </x:c>
      <x:c r="B5" s="19" t="str">
        <x:v>Low</x:v>
      </x:c>
      <x:c r="C5" s="19" t="str">
        <x:v>Direct product contact</x:v>
      </x:c>
      <x:c r="D5" s="19" t="str">
        <x:v>Open</x:v>
      </x:c>
    </x:row>
    <x:row r="6">
      <x:c r="A6" s="19" t="str">
        <x:v>In progress</x:v>
      </x:c>
      <x:c r="B6" s="19" t="str">
        <x:v>Medium</x:v>
      </x:c>
      <x:c r="C6" s="19" t="str">
        <x:v>Indirect product contact</x:v>
      </x:c>
      <x:c r="D6" s="19" t="str">
        <x:v>Conditional</x:v>
      </x:c>
    </x:row>
    <x:row r="7">
      <x:c r="A7" s="19" t="str">
        <x:v>Pending review</x:v>
      </x:c>
      <x:c r="B7" s="19" t="str">
        <x:v>High</x:v>
      </x:c>
      <x:c r="C7" s="19" t="str">
        <x:v>Process contact</x:v>
      </x:c>
      <x:c r="D7" s="19" t="str">
        <x:v>Accepted</x:v>
      </x:c>
    </x:row>
    <x:row r="8">
      <x:c r="A8" s="19" t="str">
        <x:v>Accepted</x:v>
      </x:c>
      <x:c r="B8" s="19" t="str">
        <x:v>Critical</x:v>
      </x:c>
      <x:c r="C8" s="19" t="str">
        <x:v>No contact</x:v>
      </x:c>
      <x:c r="D8" s="19" t="str">
        <x:v>Rejected</x:v>
      </x:c>
    </x:row>
    <x:row r="9">
      <x:c r="A9" s="19" t="str">
        <x:v>Rejected</x:v>
      </x:c>
      <x:c r="B9" s="19" t="str"/>
      <x:c r="C9" s="19" t="str">
        <x:v>Unconfirmed</x:v>
      </x:c>
      <x:c r="D9" s="19" t="str">
        <x:v>Deferred</x:v>
      </x:c>
    </x:row>
    <x:row r="10">
      <x:c r="A10" s="19" t="str">
        <x:v>Deferred</x:v>
      </x:c>
      <x:c r="B10" s="19" t="str"/>
      <x:c r="C10" s="19" t="str"/>
      <x:c r="D10" s="19" t="str"/>
    </x:row>
  </x:sheetData>
  <x:mergeCells>
    <x:mergeCell ref="A1:H1"/>
    <x:mergeCell ref="A2:H2"/>
  </x:mergeCells>
  <x:pageMargins left="0.7" right="0.7" top="0.75" bottom="0.75" header="0.3" footer="0.3"/>
</x:worksheet>
</file>