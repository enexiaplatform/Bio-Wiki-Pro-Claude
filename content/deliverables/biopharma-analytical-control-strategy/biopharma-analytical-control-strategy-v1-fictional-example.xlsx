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f5d7fa95246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0720d8b2b8394f53"/>
    <x:sheet xmlns:r="http://schemas.openxmlformats.org/officeDocument/2006/relationships" name="Decision Brief" sheetId="2" r:id="R92b2dd81cac44f76"/>
    <x:sheet xmlns:r="http://schemas.openxmlformats.org/officeDocument/2006/relationships" name="Attribute Map" sheetId="3" r:id="R4981e948a0984d4e"/>
    <x:sheet xmlns:r="http://schemas.openxmlformats.org/officeDocument/2006/relationships" name="Method Portfolio" sheetId="4" r:id="R3c7e959c1fe544e0"/>
    <x:sheet xmlns:r="http://schemas.openxmlformats.org/officeDocument/2006/relationships" name="Specification Basis" sheetId="5" r:id="R31b4dad12b3f4cb4"/>
    <x:sheet xmlns:r="http://schemas.openxmlformats.org/officeDocument/2006/relationships" name="Reference Materials" sheetId="6" r:id="Rd05d148d3cb34f0e"/>
    <x:sheet xmlns:r="http://schemas.openxmlformats.org/officeDocument/2006/relationships" name="Lifecycle Changes" sheetId="7" r:id="Rc80b5e75ae234e33"/>
    <x:sheet xmlns:r="http://schemas.openxmlformats.org/officeDocument/2006/relationships" name="Evidence Register" sheetId="8" r:id="R18422261f4d0443a"/>
    <x:sheet xmlns:r="http://schemas.openxmlformats.org/officeDocument/2006/relationships" name="Review &amp; Actions" sheetId="9" r:id="Rf28328657a92401c"/>
    <x:sheet xmlns:r="http://schemas.openxmlformats.org/officeDocument/2006/relationships" name="Sources &amp; Control" sheetId="10" r:id="R2ac85bec44354914"/>
    <x:sheet xmlns:r="http://schemas.openxmlformats.org/officeDocument/2006/relationships" name="Lists" sheetId="11" r:id="Racf7ab13b2d84f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033"/>
      <x:name val="Carlito"/>
    </x:font>
    <x:font>
      <x:b/>
      <x:sz val="11"/>
      <x:color rgb="FF172033"/>
      <x:name val="Carlito"/>
    </x:font>
    <x:font>
      <x:b/>
      <x:sz val="9"/>
      <x:color rgb="FF475569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1"/>
      <x:color rgb="FF78350F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CEFFC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EAF4FF"/>
      </x:patternFill>
    </x:fill>
  </x:fills>
  <x:borders count="15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8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/>
    <x:xf numFmtId="0" fontId="8" fillId="5" borderId="9" xfId="0" applyNumberFormat="1" applyFont="1" applyFill="1" applyBorder="1"/>
    <x:xf numFmtId="0" fontId="8" fillId="5" borderId="10" xfId="0" applyNumberFormat="1" applyFont="1" applyFill="1" applyBorder="1"/>
    <x:xf numFmtId="0" fontId="8" fillId="5" borderId="11" xfId="0" applyNumberFormat="1" applyFont="1" applyFill="1" applyBorder="1"/>
    <x:xf numFmtId="0" fontId="8" fillId="5" borderId="9" xfId="0" applyNumberFormat="1" applyFont="1" applyFill="1" applyBorder="1" applyAlignment="1">
      <x:alignment wrapText="1"/>
    </x:xf>
    <x:xf numFmtId="0" fontId="8" fillId="5" borderId="10" xfId="0" applyNumberFormat="1" applyFont="1" applyFill="1" applyBorder="1" applyAlignment="1">
      <x:alignment wrapText="1"/>
    </x:xf>
    <x:xf numFmtId="0" fontId="8" fillId="5" borderId="11" xfId="0" applyNumberFormat="1" applyFont="1" applyFill="1" applyBorder="1" applyAlignment="1">
      <x:alignment wrapText="1"/>
    </x:xf>
    <x:xf numFmtId="0" fontId="8" fillId="5" borderId="9" xfId="0" applyNumberFormat="1" applyFont="1" applyFill="1" applyBorder="1" applyAlignment="1">
      <x:alignment vertical="center" wrapText="1"/>
    </x:xf>
    <x:xf numFmtId="0" fontId="8" fillId="5" borderId="10" xfId="0" applyNumberFormat="1" applyFont="1" applyFill="1" applyBorder="1" applyAlignment="1">
      <x:alignment vertical="center" wrapText="1"/>
    </x:xf>
    <x:xf numFmtId="0" fontId="8" fillId="5" borderId="1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2" xfId="0" applyNumberFormat="1" applyFont="1" applyFill="1" applyBorder="1"/>
    <x:xf numFmtId="0" fontId="9" fillId="0" borderId="13" xfId="0" applyNumberFormat="1" applyFont="1" applyFill="1" applyBorder="1"/>
    <x:xf numFmtId="0" fontId="9" fillId="0" borderId="14" xfId="0" applyNumberFormat="1" applyFont="1" applyFill="1" applyBorder="1"/>
    <x:xf numFmtId="0" fontId="9" fillId="0" borderId="12" xfId="0" applyNumberFormat="1" applyFont="1" applyFill="1" applyBorder="1" applyAlignment="1">
      <x:alignment wrapText="1"/>
    </x:xf>
    <x:xf numFmtId="0" fontId="9" fillId="0" borderId="13" xfId="0" applyNumberFormat="1" applyFont="1" applyFill="1" applyBorder="1" applyAlignment="1">
      <x:alignment wrapText="1"/>
    </x:xf>
    <x:xf numFmtId="0" fontId="9" fillId="0" borderId="14" xfId="0" applyNumberFormat="1" applyFont="1" applyFill="1" applyBorder="1" applyAlignment="1">
      <x:alignment wrapText="1"/>
    </x:xf>
    <x:xf numFmtId="0" fontId="9" fillId="0" borderId="12" xfId="0" applyNumberFormat="1" applyFont="1" applyFill="1" applyBorder="1" applyAlignment="1">
      <x:alignment vertical="top" wrapText="1"/>
    </x:xf>
    <x:xf numFmtId="0" fontId="9" fillId="0" borderId="13" xfId="0" applyNumberFormat="1" applyFont="1" applyFill="1" applyBorder="1" applyAlignment="1">
      <x:alignment vertical="top" wrapText="1"/>
    </x:xf>
    <x:xf numFmtId="0" fontId="9" fillId="0" borderId="14" xfId="0" applyNumberFormat="1" applyFont="1" applyFill="1" applyBorder="1" applyAlignment="1">
      <x:alignment vertical="top" wrapText="1"/>
    </x:xf>
    <x:xf numFmtId="0" fontId="9" fillId="8" borderId="12" xfId="0" applyNumberFormat="1" applyFont="1" applyFill="1" applyBorder="1" applyAlignment="1">
      <x:alignment vertical="top" wrapText="1"/>
    </x:xf>
    <x:xf numFmtId="0" fontId="9" fillId="8" borderId="13" xfId="0" applyNumberFormat="1" applyFont="1" applyFill="1" applyBorder="1" applyAlignment="1">
      <x:alignment vertical="top" wrapText="1"/>
    </x:xf>
    <x:xf numFmtId="0" fontId="9" fillId="8" borderId="14" xfId="0" applyNumberFormat="1" applyFont="1" applyFill="1" applyBorder="1" applyAlignment="1">
      <x:alignment vertical="top" wrapText="1"/>
    </x:xf>
    <x:xf numFmtId="0" fontId="9" fillId="4" borderId="12" xfId="0" applyNumberFormat="1" applyFont="1" applyFill="1" applyBorder="1" applyAlignment="1">
      <x:alignment vertical="top" wrapText="1"/>
    </x:xf>
    <x:xf numFmtId="0" fontId="9" fillId="4" borderId="13" xfId="0" applyNumberFormat="1" applyFont="1" applyFill="1" applyBorder="1" applyAlignment="1">
      <x:alignment vertical="top" wrapText="1"/>
    </x:xf>
    <x:xf numFmtId="0" fontId="9" fillId="4" borderId="14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200" fontId="9" fillId="8" borderId="12" xfId="0" applyNumberFormat="1" applyFont="1" applyFill="1" applyBorder="1" applyAlignment="1">
      <x:alignment vertical="top" wrapText="1"/>
    </x:xf>
    <x:xf numFmtId="200" fontId="9" fillId="8" borderId="13" xfId="0" applyNumberFormat="1" applyFont="1" applyFill="1" applyBorder="1" applyAlignment="1">
      <x:alignment vertical="top" wrapText="1"/>
    </x:xf>
    <x:xf numFmtId="200" fontId="9" fillId="8" borderId="14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6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ac1c410f041a9" /><Relationship Type="http://schemas.openxmlformats.org/officeDocument/2006/relationships/theme" Target="/xl/theme/theme1.xml" Id="R1f9b6514c1574f59" /><Relationship Type="http://schemas.openxmlformats.org/officeDocument/2006/relationships/sharedStrings" Target="/xl/sharedStrings.xml" Id="Rece42951ae644875" /><Relationship Type="http://schemas.openxmlformats.org/officeDocument/2006/relationships/worksheet" Target="/xl/worksheets/sheet1.xml" Id="R0720d8b2b8394f53" /><Relationship Type="http://schemas.openxmlformats.org/officeDocument/2006/relationships/worksheet" Target="/xl/worksheets/sheet2.xml" Id="R92b2dd81cac44f76" /><Relationship Type="http://schemas.openxmlformats.org/officeDocument/2006/relationships/worksheet" Target="/xl/worksheets/sheet3.xml" Id="R4981e948a0984d4e" /><Relationship Type="http://schemas.openxmlformats.org/officeDocument/2006/relationships/worksheet" Target="/xl/worksheets/sheet4.xml" Id="R3c7e959c1fe544e0" /><Relationship Type="http://schemas.openxmlformats.org/officeDocument/2006/relationships/worksheet" Target="/xl/worksheets/sheet5.xml" Id="R31b4dad12b3f4cb4" /><Relationship Type="http://schemas.openxmlformats.org/officeDocument/2006/relationships/worksheet" Target="/xl/worksheets/sheet6.xml" Id="Rd05d148d3cb34f0e" /><Relationship Type="http://schemas.openxmlformats.org/officeDocument/2006/relationships/worksheet" Target="/xl/worksheets/sheet7.xml" Id="Rc80b5e75ae234e33" /><Relationship Type="http://schemas.openxmlformats.org/officeDocument/2006/relationships/worksheet" Target="/xl/worksheets/sheet8.xml" Id="R18422261f4d0443a" /><Relationship Type="http://schemas.openxmlformats.org/officeDocument/2006/relationships/worksheet" Target="/xl/worksheets/sheet9.xml" Id="Rf28328657a92401c" /><Relationship Type="http://schemas.openxmlformats.org/officeDocument/2006/relationships/worksheet" Target="/xl/worksheets/sheet10.xml" Id="R2ac85bec44354914" /><Relationship Type="http://schemas.openxmlformats.org/officeDocument/2006/relationships/worksheet" Target="/xl/worksheets/sheet11.xml" Id="Racf7ab13b2d84f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Biopharma Analytical Control Strategy Evidence Map</x:v>
      </x:c>
      <x:c r="B1" s="3"/>
      <x:c r="C1" s="3"/>
      <x:c r="D1" s="3"/>
      <x:c r="E1" s="3"/>
      <x:c r="F1" s="3"/>
    </x:row>
    <x:row r="2" ht="34" customHeight="1">
      <x:c r="A2" s="7" t="str">
        <x:v>Version 1.0.0-review | No universal panel, specification, reference value, procedure criteria, validation design, or approval</x:v>
      </x:c>
      <x:c r="B2" s="7"/>
      <x:c r="C2" s="7"/>
      <x:c r="D2" s="7"/>
      <x:c r="E2" s="7"/>
      <x:c r="F2" s="7"/>
    </x:row>
    <x:row r="4">
      <x:c r="A4" s="8" t="str">
        <x:v>Current decision status</x:v>
      </x:c>
      <x:c r="B4" s="11" t="str">
        <x:f>'Decision Brief'!B19</x:f>
        <x:v>Qualified review required</x:v>
      </x:c>
    </x:row>
    <x:row r="5">
      <x:c r="A5" s="8" t="str">
        <x:v>Attribute records</x:v>
      </x:c>
      <x:c r="B5" s="10" t="n">
        <x:f>'Decision Brief'!B9</x:f>
        <x:v>6</x:v>
      </x:c>
    </x:row>
    <x:row r="6">
      <x:c r="A6" s="8" t="str">
        <x:v>Method records</x:v>
      </x:c>
      <x:c r="B6" s="10" t="n">
        <x:f>'Decision Brief'!B10</x:f>
        <x:v>7</x:v>
      </x:c>
    </x:row>
    <x:row r="7">
      <x:c r="A7" s="8" t="str">
        <x:v>Specification-basis records</x:v>
      </x:c>
      <x:c r="B7" s="10" t="n">
        <x:f>'Decision Brief'!B11</x:f>
        <x:v>4</x:v>
      </x:c>
    </x:row>
    <x:row r="8">
      <x:c r="A8" s="8" t="str">
        <x:v>Reference-system records</x:v>
      </x:c>
      <x:c r="B8" s="10" t="n">
        <x:f>'Decision Brief'!B12</x:f>
        <x:v>4</x:v>
      </x:c>
    </x:row>
    <x:row r="9">
      <x:c r="A9" s="8" t="str">
        <x:v>Lifecycle-change records</x:v>
      </x:c>
      <x:c r="B9" s="10" t="n">
        <x:f>'Decision Brief'!B13</x:f>
        <x:v>4</x:v>
      </x:c>
    </x:row>
    <x:row r="10">
      <x:c r="A10" s="8" t="str">
        <x:v>Evidence records</x:v>
      </x:c>
      <x:c r="B10" s="10" t="n">
        <x:f>'Decision Brief'!B14</x:f>
        <x:v>10</x:v>
      </x:c>
    </x:row>
    <x:row r="11">
      <x:c r="A11" s="8" t="str">
        <x:v>Incomplete records</x:v>
      </x:c>
      <x:c r="B11" s="10" t="n">
        <x:f>'Decision Brief'!B15</x:f>
        <x:v>0</x:v>
      </x:c>
    </x:row>
    <x:row r="12">
      <x:c r="A12" s="8" t="str">
        <x:v>Evidence-required records</x:v>
      </x:c>
      <x:c r="B12" s="10" t="n">
        <x:f>'Decision Brief'!B16</x:f>
        <x:v>0</x:v>
      </x:c>
    </x:row>
    <x:row r="13">
      <x:c r="A13" s="8" t="str">
        <x:v>Review-required records</x:v>
      </x:c>
      <x:c r="B13" s="10" t="n">
        <x:f>'Decision Brief'!B17</x:f>
        <x:v>27</x:v>
      </x:c>
    </x:row>
    <x:row r="14">
      <x:c r="A14" s="8" t="str">
        <x:v>Open / overdue actions</x:v>
      </x:c>
      <x:c r="B14" s="10" t="n">
        <x:f>'Decision Brief'!B18</x:f>
        <x:v>5</x:v>
      </x:c>
    </x:row>
    <x:row r="16">
      <x:c r="A16" s="13" t="str">
        <x:v>How to use this workbook</x:v>
      </x:c>
      <x:c r="B16" s="13"/>
      <x:c r="C16" s="13"/>
      <x:c r="D16" s="13"/>
      <x:c r="E16" s="13"/>
      <x:c r="F16" s="13"/>
    </x:row>
    <x:row r="17">
      <x:c r="A17" s="16" t="str">
        <x:v>1. Freeze one product, lifecycle stage, region, matrix, intended decision, and owner.</x:v>
      </x:c>
      <x:c r="B17" s="16"/>
      <x:c r="C17" s="16"/>
      <x:c r="D17" s="16"/>
      <x:c r="E17" s="16"/>
      <x:c r="F17" s="16"/>
    </x:row>
    <x:row r="18">
      <x:c r="A18" s="16" t="str">
        <x:v>2. Map attributes and relevance without converting every measurement into a CQA.</x:v>
      </x:c>
      <x:c r="B18" s="16"/>
      <x:c r="C18" s="16"/>
      <x:c r="D18" s="16"/>
      <x:c r="E18" s="16"/>
      <x:c r="F18" s="16"/>
    </x:row>
    <x:row r="19">
      <x:c r="A19" s="16" t="str">
        <x:v>3. Assign each method one intended purpose, lifecycle use, unique contribution, blind spot, and reportability gate.</x:v>
      </x:c>
      <x:c r="B19" s="16"/>
      <x:c r="C19" s="16"/>
      <x:c r="D19" s="16"/>
      <x:c r="E19" s="16"/>
      <x:c r="F19" s="16"/>
    </x:row>
    <x:row r="20">
      <x:c r="A20" s="16" t="str">
        <x:v>4. Justify control placement across process, IPC, characterization, release, stability, and monitoring.</x:v>
      </x:c>
      <x:c r="B20" s="16"/>
      <x:c r="C20" s="16"/>
      <x:c r="D20" s="16"/>
      <x:c r="E20" s="16"/>
      <x:c r="F20" s="16"/>
    </x:row>
    <x:row r="21">
      <x:c r="A21" s="16" t="str">
        <x:v>5. Record specification inclusion, omission, or change rationale without inventing criteria.</x:v>
      </x:c>
      <x:c r="B21" s="16"/>
      <x:c r="C21" s="16"/>
      <x:c r="D21" s="16"/>
      <x:c r="E21" s="16"/>
      <x:c r="F21" s="16"/>
    </x:row>
    <x:row r="22">
      <x:c r="A22" s="16" t="str">
        <x:v>6. Build reference-material, cell, critical-reagent, and calibration-model traceability.</x:v>
      </x:c>
      <x:c r="B22" s="16"/>
      <x:c r="C22" s="16"/>
      <x:c r="D22" s="16"/>
      <x:c r="E22" s="16"/>
      <x:c r="F22" s="16"/>
    </x:row>
    <x:row r="23">
      <x:c r="A23" s="16" t="str">
        <x:v>7. Track procedure, site, product, process, reference, reagent, software, and filing changes.</x:v>
      </x:c>
      <x:c r="B23" s="16"/>
      <x:c r="C23" s="16"/>
      <x:c r="D23" s="16"/>
      <x:c r="E23" s="16"/>
      <x:c r="F23" s="16"/>
    </x:row>
    <x:row r="24">
      <x:c r="A24" s="16" t="str">
        <x:v>8. Resolve every Incomplete, Evidence required, or Review required flag.</x:v>
      </x:c>
      <x:c r="B24" s="16"/>
      <x:c r="C24" s="16"/>
      <x:c r="D24" s="16"/>
      <x:c r="E24" s="16"/>
      <x:c r="F24" s="16"/>
    </x:row>
    <x:row r="25">
      <x:c r="A25" s="16" t="str">
        <x:v>9. Obtain qualified cross-functional review before controlled implementation.</x:v>
      </x:c>
      <x:c r="B25" s="16"/>
      <x:c r="C25" s="16"/>
      <x:c r="D25" s="16"/>
      <x:c r="E25" s="16"/>
      <x:c r="F25" s="16"/>
    </x:row>
    <x:row r="27">
      <x:c r="A27" s="19" t="str">
        <x:v>Critical boundary: the fictional example is a usability demonstration. It is not a product method panel, CQA list, specification, acceptance criterion, reference assignment, comparability conclusion, transfer acceptance, filing decision, or batch disposition.</x:v>
      </x:c>
      <x:c r="B27" s="19"/>
      <x:c r="C27" s="19"/>
      <x:c r="D27" s="19"/>
      <x:c r="E27" s="19"/>
      <x:c r="F27" s="19"/>
    </x:row>
    <x:row r="28">
      <x:c r="A28" s="19"/>
      <x:c r="B28" s="19"/>
      <x:c r="C28" s="19"/>
      <x:c r="D28" s="19"/>
      <x:c r="E28" s="19"/>
      <x:c r="F28" s="19"/>
    </x:row>
    <x:row r="29">
      <x:c r="A29" s="19"/>
      <x:c r="B29" s="19"/>
      <x:c r="C29" s="19"/>
      <x:c r="D29" s="19"/>
      <x:c r="E29" s="19"/>
      <x:c r="F29" s="19"/>
    </x:row>
  </x:sheetData>
  <x:mergeCells>
    <x:mergeCell ref="A1:F1"/>
    <x:mergeCell ref="A2:F2"/>
    <x:mergeCell ref="A16:F16"/>
    <x:mergeCell ref="A17:F17"/>
    <x:mergeCell ref="A18:F18"/>
    <x:mergeCell ref="A19:F19"/>
    <x:mergeCell ref="A20:F20"/>
    <x:mergeCell ref="A21:F21"/>
    <x:mergeCell ref="A22:F22"/>
    <x:mergeCell ref="A23:F23"/>
    <x:mergeCell ref="A24:F24"/>
    <x:mergeCell ref="A25:F25"/>
    <x:mergeCell ref="A27:F29"/>
  </x:mergeCells>
  <x:conditionalFormatting sqref="B4:B4">
    <x:cfRule type="containsText" dxfId="0" priority="1" operator="containsText" text="Incomplete"/>
    <x:cfRule type="containsText" dxfId="1" priority="2" operator="containsText" text="Evidence required"/>
    <x:cfRule type="containsText" dxfId="2" priority="3" operator="containsText" text="Review required"/>
    <x:cfRule type="containsText" dxfId="3" priority="4" operator="containsText" text="Open"/>
    <x:cfRule type="containsText" dxfId="4" priority="5" operator="containsText" text="Overdue"/>
    <x:cfRule type="containsText" dxfId="5" priority="6" operator="containsText" text="Ready"/>
    <x:cfRule type="containsText" dxfId="6" priority="7" operator="containsText" text="Clos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Decision Brief</x:v>
      </x:c>
      <x:c r="B1" s="3"/>
      <x:c r="C1" s="3"/>
      <x:c r="D1" s="3"/>
      <x:c r="E1" s="3"/>
      <x:c r="F1" s="3"/>
    </x:row>
    <x:row r="2" ht="34" customHeight="1">
      <x:c r="A2" s="7" t="str">
        <x:v>Freeze the product and analytical decision before mapping attributes, methods, references, or specifications</x:v>
      </x:c>
      <x:c r="B2" s="7"/>
      <x:c r="C2" s="7"/>
      <x:c r="D2" s="7"/>
      <x:c r="E2" s="7"/>
      <x:c r="F2" s="7"/>
    </x:row>
    <x:row r="3">
      <x:c r="A3" s="20" t="str">
        <x:v>Decision statement</x:v>
      </x:c>
      <x:c r="B3" s="30" t="str">
        <x:v>Assess whether the analytical strategy can support a fictional polishing-resin change, working-reference transition, potency-method transfer, and any resulting specification decision without conflating their evidence.</x:v>
      </x:c>
      <x:c r="C3" s="31"/>
      <x:c r="D3" s="31"/>
      <x:c r="E3" s="31"/>
      <x:c r="F3" s="32"/>
    </x:row>
    <x:row r="4">
      <x:c r="A4" s="20" t="str">
        <x:v>Product / modality / presentation</x:v>
      </x:c>
      <x:c r="B4" s="33" t="str">
        <x:v>FIC-MAB-07 | CHO monoclonal antibody | liquid vial presentation</x:v>
      </x:c>
      <x:c r="C4" s="34"/>
      <x:c r="D4" s="34"/>
      <x:c r="E4" s="34"/>
      <x:c r="F4" s="35"/>
    </x:row>
    <x:row r="5">
      <x:c r="A5" s="20" t="str">
        <x:v>Process / site / lifecycle scope</x:v>
      </x:c>
      <x:c r="B5" s="33" t="str">
        <x:v>Drug substance polishing change plus drug-product analytical/reference lifecycle; development-to-commercial bridge; two fictional sites</x:v>
      </x:c>
      <x:c r="C5" s="34"/>
      <x:c r="D5" s="34"/>
      <x:c r="E5" s="34"/>
      <x:c r="F5" s="35"/>
    </x:row>
    <x:row r="6">
      <x:c r="A6" s="20" t="str">
        <x:v>Matrix / intended analytical use / regions</x:v>
      </x:c>
      <x:c r="B6" s="33" t="str">
        <x:v>DS and DP matrices | characterization, release, stability, comparability, reference qualification, and transfer | fictional regions</x:v>
      </x:c>
      <x:c r="C6" s="34"/>
      <x:c r="D6" s="34"/>
      <x:c r="E6" s="34"/>
      <x:c r="F6" s="35"/>
    </x:row>
    <x:row r="7">
      <x:c r="A7" s="20" t="str">
        <x:v>Decision owner and target review date</x:v>
      </x:c>
      <x:c r="B7" s="36" t="str">
        <x:v>Integrated change owner | target qualified review 2026-09-30</x:v>
      </x:c>
      <x:c r="C7" s="37"/>
      <x:c r="D7" s="37"/>
      <x:c r="E7" s="37"/>
      <x:c r="F7" s="38"/>
    </x:row>
    <x:row r="9">
      <x:c r="A9" s="8" t="str">
        <x:v>Attribute records</x:v>
      </x:c>
      <x:c r="B9" s="10" t="n">
        <x:f>COUNTA('Attribute Map'!A6:A105)</x:f>
        <x:v>6</x:v>
      </x:c>
    </x:row>
    <x:row r="10">
      <x:c r="A10" s="8" t="str">
        <x:v>Method records</x:v>
      </x:c>
      <x:c r="B10" s="10" t="n">
        <x:f>COUNTA('Method Portfolio'!A6:A105)</x:f>
        <x:v>7</x:v>
      </x:c>
    </x:row>
    <x:row r="11">
      <x:c r="A11" s="8" t="str">
        <x:v>Specification-basis records</x:v>
      </x:c>
      <x:c r="B11" s="10" t="n">
        <x:f>COUNTA('Specification Basis'!A6:A105)</x:f>
        <x:v>4</x:v>
      </x:c>
    </x:row>
    <x:row r="12">
      <x:c r="A12" s="8" t="str">
        <x:v>Reference-system records</x:v>
      </x:c>
      <x:c r="B12" s="10" t="n">
        <x:f>COUNTA('Reference Materials'!A6:A105)</x:f>
        <x:v>4</x:v>
      </x:c>
    </x:row>
    <x:row r="13">
      <x:c r="A13" s="8" t="str">
        <x:v>Lifecycle-change records</x:v>
      </x:c>
      <x:c r="B13" s="10" t="n">
        <x:f>COUNTA('Lifecycle Changes'!A6:A105)</x:f>
        <x:v>4</x:v>
      </x:c>
    </x:row>
    <x:row r="14">
      <x:c r="A14" s="8" t="str">
        <x:v>Evidence records</x:v>
      </x:c>
      <x:c r="B14" s="10" t="n">
        <x:f>COUNTA('Evidence Register'!A6:A205)</x:f>
        <x:v>10</x:v>
      </x:c>
    </x:row>
    <x:row r="15">
      <x:c r="A15" s="8" t="str">
        <x:v>Incomplete records</x:v>
      </x:c>
      <x:c r="B15" s="10" t="n">
        <x:f>COUNTIF('Attribute Map'!M6:M105,"Incomplete")+COUNTIF('Method Portfolio'!P6:P105,"Incomplete")+COUNTIF('Specification Basis'!M6:M105,"Incomplete")+COUNTIF('Reference Materials'!O6:O105,"Incomplete")+COUNTIF('Lifecycle Changes'!N6:N105,"Incomplete")+COUNTIF('Evidence Register'!K6:K205,"Incomplete")</x:f>
        <x:v>0</x:v>
      </x:c>
    </x:row>
    <x:row r="16">
      <x:c r="A16" s="8" t="str">
        <x:v>Evidence-required records</x:v>
      </x:c>
      <x:c r="B16" s="10" t="n">
        <x:f>COUNTIF('Attribute Map'!M6:M105,"Evidence required")+COUNTIF('Method Portfolio'!P6:P105,"Evidence required")+COUNTIF('Specification Basis'!M6:M105,"Evidence required")+COUNTIF('Reference Materials'!O6:O105,"Evidence required")+COUNTIF('Lifecycle Changes'!N6:N105,"Evidence required")+COUNTIF('Evidence Register'!K6:K205,"Evidence required")</x:f>
        <x:v>0</x:v>
      </x:c>
    </x:row>
    <x:row r="17">
      <x:c r="A17" s="8" t="str">
        <x:v>Review-required records</x:v>
      </x:c>
      <x:c r="B17" s="10" t="n">
        <x:f>COUNTIF('Attribute Map'!M6:M105,"Review required")+COUNTIF('Method Portfolio'!P6:P105,"Review required")+COUNTIF('Specification Basis'!M6:M105,"Review required")+COUNTIF('Reference Materials'!O6:O105,"Review required")+COUNTIF('Lifecycle Changes'!N6:N105,"Review required")+COUNTIF('Evidence Register'!K6:K205,"Review required")</x:f>
        <x:v>27</x:v>
      </x:c>
    </x:row>
    <x:row r="18">
      <x:c r="A18" s="8" t="str">
        <x:v>Open / overdue actions</x:v>
      </x:c>
      <x:c r="B18" s="10" t="n">
        <x:f>COUNTIF('Review &amp; Actions'!J6:J105,"Open")+COUNTIF('Review &amp; Actions'!J6:J105,"Overdue")+COUNTIF('Review &amp; Actions'!J6:J105,"Incomplete")</x:f>
        <x:v>5</x:v>
      </x:c>
    </x:row>
    <x:row r="19">
      <x:c r="A19" s="8" t="str">
        <x:v>Decision status</x:v>
      </x:c>
      <x:c r="B19" s="11" t="str">
        <x:f>IF(COUNTA(B3:B7)&lt;5,"Evidence required",IF(B15+B16&gt;0,"Evidence required",IF(B17+B18&gt;0,"Qualified review required","Review-ready draft")))</x:f>
        <x:v>Qualified review required</x:v>
      </x:c>
    </x:row>
    <x:row r="21">
      <x:c r="A21" s="39" t="str">
        <x:v>Decision boundary: Review-ready draft means structurally complete only. It does not establish product CQAs, analytical procedure suitability, reference values, specifications, acceptance criteria, comparability, validation, transfer, regulatory acceptance, or batch disposition.</x:v>
      </x:c>
      <x:c r="B21" s="39"/>
      <x:c r="C21" s="39"/>
      <x:c r="D21" s="39"/>
      <x:c r="E21" s="39"/>
      <x:c r="F21" s="39"/>
    </x:row>
    <x:row r="22">
      <x:c r="A22" s="39"/>
      <x:c r="B22" s="39"/>
      <x:c r="C22" s="39"/>
      <x:c r="D22" s="39"/>
      <x:c r="E22" s="39"/>
      <x:c r="F22" s="39"/>
    </x:row>
    <x:row r="23">
      <x:c r="A23" s="39"/>
      <x:c r="B23" s="39"/>
      <x:c r="C23" s="39"/>
      <x:c r="D23" s="39"/>
      <x:c r="E23" s="39"/>
      <x:c r="F23" s="39"/>
    </x:row>
    <x:row r="24">
      <x:c r="A24" s="39"/>
      <x:c r="B24" s="39"/>
      <x:c r="C24" s="39"/>
      <x:c r="D24" s="39"/>
      <x:c r="E24" s="39"/>
      <x:c r="F24" s="39"/>
    </x:row>
  </x:sheetData>
  <x:mergeCells>
    <x:mergeCell ref="A1:F1"/>
    <x:mergeCell ref="A2:F2"/>
    <x:mergeCell ref="B3:F3"/>
    <x:mergeCell ref="B4:F4"/>
    <x:mergeCell ref="B5:F5"/>
    <x:mergeCell ref="B6:F6"/>
    <x:mergeCell ref="B7:F7"/>
    <x:mergeCell ref="A21:F24"/>
  </x:mergeCells>
  <x:conditionalFormatting sqref="B19:B19">
    <x:cfRule type="containsText" dxfId="7" priority="1" operator="containsText" text="Incomplete"/>
    <x:cfRule type="containsText" dxfId="8" priority="2" operator="containsText" text="Evidence required"/>
    <x:cfRule type="containsText" dxfId="9" priority="3" operator="containsText" text="Review required"/>
    <x:cfRule type="containsText" dxfId="10" priority="4" operator="containsText" text="Open"/>
    <x:cfRule type="containsText" dxfId="11" priority="5" operator="containsText" text="Overdue"/>
    <x:cfRule type="containsText" dxfId="12" priority="6" operator="containsText" text="Ready"/>
    <x:cfRule type="containsText" dxfId="13" priority="7" operator="containsText" text="Clos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26" hidden="0" customWidth="1"/>
    <x:col min="4" max="4" width="40" hidden="0" customWidth="1"/>
    <x:col min="5" max="5" width="30" hidden="0" customWidth="1"/>
    <x:col min="6" max="6" width="25" hidden="0" customWidth="1"/>
    <x:col min="7" max="7" width="20" hidden="0" customWidth="1"/>
    <x:col min="8" max="8" width="20" hidden="0" customWidth="1"/>
    <x:col min="9" max="9" width="24" hidden="0" customWidth="1"/>
    <x:col min="10" max="10" width="38" hidden="0" customWidth="1"/>
    <x:col min="11" max="11" width="26" hidden="0" customWidth="1"/>
    <x:col min="12" max="12" width="17" hidden="0" customWidth="1"/>
    <x:col min="13" max="13" width="22" hidden="0" customWidth="1"/>
  </x:cols>
  <x:sheetData>
    <x:row r="1" ht="28" customHeight="1">
      <x:c r="A1" s="3" t="str">
        <x:v>Attribute Map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Connect product attributes and relevance to lifecycle use, control placement, methods, evidence, limitations, and owners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5" ht="38" customHeight="1">
      <x:c r="A5" s="47" t="str">
        <x:v>Attribute ID</x:v>
      </x:c>
      <x:c r="B5" s="48" t="str">
        <x:v>Attribute / question</x:v>
      </x:c>
      <x:c r="C5" s="48" t="str">
        <x:v>Category</x:v>
      </x:c>
      <x:c r="D5" s="48" t="str">
        <x:v>Product / patient / process relevance</x:v>
      </x:c>
      <x:c r="E5" s="48" t="str">
        <x:v>Lifecycle use(s)</x:v>
      </x:c>
      <x:c r="F5" s="48" t="str">
        <x:v>Control placement</x:v>
      </x:c>
      <x:c r="G5" s="48" t="str">
        <x:v>Method IDs</x:v>
      </x:c>
      <x:c r="H5" s="48" t="str">
        <x:v>Evidence IDs</x:v>
      </x:c>
      <x:c r="I5" s="48" t="str">
        <x:v>Evidence strength</x:v>
      </x:c>
      <x:c r="J5" s="48" t="str">
        <x:v>Contradiction / limitation</x:v>
      </x:c>
      <x:c r="K5" s="48" t="str">
        <x:v>Owner role</x:v>
      </x:c>
      <x:c r="L5" s="48" t="str">
        <x:v>Review status</x:v>
      </x:c>
      <x:c r="M5" s="49" t="str">
        <x:v>Attention</x:v>
      </x:c>
    </x:row>
    <x:row r="6">
      <x:c r="A6" s="60" t="str">
        <x:v>ATT-001</x:v>
      </x:c>
      <x:c r="B6" s="60" t="str">
        <x:v>Primary identity and higher-order structural comparability</x:v>
      </x:c>
      <x:c r="C6" s="60" t="str">
        <x:v>Identity / structure</x:v>
      </x:c>
      <x:c r="D6" s="60" t="str">
        <x:v>Supports product identity and assessment of structural difference after change.</x:v>
      </x:c>
      <x:c r="E6" s="60" t="str">
        <x:v>Characterization</x:v>
      </x:c>
      <x:c r="F6" s="60" t="str">
        <x:v>Characterization</x:v>
      </x:c>
      <x:c r="G6" s="60" t="str">
        <x:v>MTH-001; MTH-002</x:v>
      </x:c>
      <x:c r="H6" s="60" t="str">
        <x:v>EVD-001; EVD-004; EVD-005</x:v>
      </x:c>
      <x:c r="I6" s="60" t="str">
        <x:v>Designed-study support</x:v>
      </x:c>
      <x:c r="J6" s="60" t="str">
        <x:v>Current evidence is product-specific but the changed process and reference transition require representative comparison.</x:v>
      </x:c>
      <x:c r="K6" s="60" t="str">
        <x:v>Product quality / Analytical development</x:v>
      </x:c>
      <x:c r="L6" s="60" t="str">
        <x:v>In review</x:v>
      </x:c>
      <x:c r="M6" s="66" t="str">
        <x:f>IF(A6="","",IF(OR(B6="",C6="",D6="",E6="",F6="",G6="",H6="",I6="",J6="",K6="",L6=""),"Incomplete",IF(F6="Evidence required","Evidence required",IF(OR(I6="Hypothesis",I6="Observed association",I6="Contradictory or unresolved",L6&lt;&gt;"Reviewed"),"Review required","Ready for qualified review"))))</x:f>
        <x:v>Review required</x:v>
      </x:c>
    </x:row>
    <x:row r="7">
      <x:c r="A7" s="61" t="str">
        <x:v>ATT-002</x:v>
      </x:c>
      <x:c r="B7" s="61" t="str">
        <x:v>Charge heterogeneity and identity of shifted population</x:v>
      </x:c>
      <x:c r="C7" s="61" t="str">
        <x:v>Heterogeneity / variant</x:v>
      </x:c>
      <x:c r="D7" s="61" t="str">
        <x:v>May reflect product-related substances or impurities and may connect to process, stability, or function.</x:v>
      </x:c>
      <x:c r="E7" s="61" t="str">
        <x:v>Characterization</x:v>
      </x:c>
      <x:c r="F7" s="61" t="str">
        <x:v>Multiple controls</x:v>
      </x:c>
      <x:c r="G7" s="61" t="str">
        <x:v>MTH-003; MTH-002; MTH-005</x:v>
      </x:c>
      <x:c r="H7" s="61" t="str">
        <x:v>EVD-001; EVD-004; EVD-006; EVD-009</x:v>
      </x:c>
      <x:c r="I7" s="61" t="str">
        <x:v>Contradictory or unresolved</x:v>
      </x:c>
      <x:c r="J7" s="61" t="str">
        <x:v>Observed shift is method-specific until orthogonal identity, origin, and relevance are established.</x:v>
      </x:c>
      <x:c r="K7" s="61" t="str">
        <x:v>Product quality / Analytical development</x:v>
      </x:c>
      <x:c r="L7" s="61" t="str">
        <x:v>In review</x:v>
      </x:c>
      <x:c r="M7" s="67" t="str">
        <x:f>IF(A7="","",IF(OR(B7="",C7="",D7="",E7="",F7="",G7="",H7="",I7="",J7="",K7="",L7=""),"Incomplete",IF(F7="Evidence required","Evidence required",IF(OR(I7="Hypothesis",I7="Observed association",I7="Contradictory or unresolved",L7&lt;&gt;"Reviewed"),"Review required","Ready for qualified review"))))</x:f>
        <x:v>Review required</x:v>
      </x:c>
    </x:row>
    <x:row r="8">
      <x:c r="A8" s="61" t="str">
        <x:v>ATT-003</x:v>
      </x:c>
      <x:c r="B8" s="61" t="str">
        <x:v>Mechanism-relevant biological activity</x:v>
      </x:c>
      <x:c r="C8" s="61" t="str">
        <x:v>Biological activity / potency</x:v>
      </x:c>
      <x:c r="D8" s="61" t="str">
        <x:v>Supports functional activity and may detect product or assay-system change.</x:v>
      </x:c>
      <x:c r="E8" s="61" t="str">
        <x:v>Release</x:v>
      </x:c>
      <x:c r="F8" s="61" t="str">
        <x:v>Release specification</x:v>
      </x:c>
      <x:c r="G8" s="61" t="str">
        <x:v>MTH-005</x:v>
      </x:c>
      <x:c r="H8" s="61" t="str">
        <x:v>EVD-001; EVD-002; EVD-003; EVD-007; EVD-008</x:v>
      </x:c>
      <x:c r="I8" s="61" t="str">
        <x:v>Contradictory or unresolved</x:v>
      </x:c>
      <x:c r="J8" s="61" t="str">
        <x:v>Small trend coincides with reference replacement and site transfer; product and assay contributions are unresolved.</x:v>
      </x:c>
      <x:c r="K8" s="61" t="str">
        <x:v>Bioassay / Statistics</x:v>
      </x:c>
      <x:c r="L8" s="61" t="str">
        <x:v>In review</x:v>
      </x:c>
      <x:c r="M8" s="67" t="str">
        <x:f>IF(A8="","",IF(OR(B8="",C8="",D8="",E8="",F8="",G8="",H8="",I8="",J8="",K8="",L8=""),"Incomplete",IF(F8="Evidence required","Evidence required",IF(OR(I8="Hypothesis",I8="Observed association",I8="Contradictory or unresolved",L8&lt;&gt;"Reviewed"),"Review required","Ready for qualified review"))))</x:f>
        <x:v>Review required</x:v>
      </x:c>
    </x:row>
    <x:row r="9">
      <x:c r="A9" s="61" t="str">
        <x:v>ATT-004</x:v>
      </x:c>
      <x:c r="B9" s="61" t="str">
        <x:v>Size variants and particles</x:v>
      </x:c>
      <x:c r="C9" s="61" t="str">
        <x:v>Product-related impurity</x:v>
      </x:c>
      <x:c r="D9" s="61" t="str">
        <x:v>May affect product quality and stability and informs orthogonal interpretation of observed changes.</x:v>
      </x:c>
      <x:c r="E9" s="61" t="str">
        <x:v>Release</x:v>
      </x:c>
      <x:c r="F9" s="61" t="str">
        <x:v>Multiple controls</x:v>
      </x:c>
      <x:c r="G9" s="61" t="str">
        <x:v>MTH-004; MTH-006</x:v>
      </x:c>
      <x:c r="H9" s="61" t="str">
        <x:v>EVD-001; EVD-004; EVD-006</x:v>
      </x:c>
      <x:c r="I9" s="61" t="str">
        <x:v>Designed-study support</x:v>
      </x:c>
      <x:c r="J9" s="61" t="str">
        <x:v>Method coverage differs by size domain; no single result covers soluble aggregates and particles.</x:v>
      </x:c>
      <x:c r="K9" s="61" t="str">
        <x:v>Analytical development / Stability</x:v>
      </x:c>
      <x:c r="L9" s="61" t="str">
        <x:v>In review</x:v>
      </x:c>
      <x:c r="M9" s="67" t="str">
        <x:f>IF(A9="","",IF(OR(B9="",C9="",D9="",E9="",F9="",G9="",H9="",I9="",J9="",K9="",L9=""),"Incomplete",IF(F9="Evidence required","Evidence required",IF(OR(I9="Hypothesis",I9="Observed association",I9="Contradictory or unresolved",L9&lt;&gt;"Reviewed"),"Review required","Ready for qualified review"))))</x:f>
        <x:v>Review required</x:v>
      </x:c>
    </x:row>
    <x:row r="10">
      <x:c r="A10" s="61" t="str">
        <x:v>ATT-005</x:v>
      </x:c>
      <x:c r="B10" s="61" t="str">
        <x:v>Host-cell protein residual profile</x:v>
      </x:c>
      <x:c r="C10" s="61" t="str">
        <x:v>Process-related impurity</x:v>
      </x:c>
      <x:c r="D10" s="61" t="str">
        <x:v>Links downstream process performance to product impurity control.</x:v>
      </x:c>
      <x:c r="E10" s="61" t="str">
        <x:v>Release</x:v>
      </x:c>
      <x:c r="F10" s="61" t="str">
        <x:v>Multiple controls</x:v>
      </x:c>
      <x:c r="G10" s="61" t="str">
        <x:v>MTH-007</x:v>
      </x:c>
      <x:c r="H10" s="61" t="str">
        <x:v>EVD-001; EVD-004; EVD-009</x:v>
      </x:c>
      <x:c r="I10" s="61" t="str">
        <x:v>Observed association</x:v>
      </x:c>
      <x:c r="J10" s="61" t="str">
        <x:v>Routine assay may not detect every process-change-related HCP; orthogonal or risk-based characterization remains open.</x:v>
      </x:c>
      <x:c r="K10" s="61" t="str">
        <x:v>Downstream PD / Analytical development</x:v>
      </x:c>
      <x:c r="L10" s="61" t="str">
        <x:v>In review</x:v>
      </x:c>
      <x:c r="M10" s="67" t="str">
        <x:f>IF(A10="","",IF(OR(B10="",C10="",D10="",E10="",F10="",G10="",H10="",I10="",J10="",K10="",L10=""),"Incomplete",IF(F10="Evidence required","Evidence required",IF(OR(I10="Hypothesis",I10="Observed association",I10="Contradictory or unresolved",L10&lt;&gt;"Reviewed"),"Review required","Ready for qualified review"))))</x:f>
        <x:v>Review required</x:v>
      </x:c>
    </x:row>
    <x:row r="11">
      <x:c r="A11" s="61" t="str">
        <x:v>ATT-006</x:v>
      </x:c>
      <x:c r="B11" s="61" t="str">
        <x:v>Stability-indicating product change</x:v>
      </x:c>
      <x:c r="C11" s="61" t="str">
        <x:v>Degradation product</x:v>
      </x:c>
      <x:c r="D11" s="61" t="str">
        <x:v>Connects structural, purity, particle, and potency change to storage and lifecycle interpretation.</x:v>
      </x:c>
      <x:c r="E11" s="61" t="str">
        <x:v>Stability</x:v>
      </x:c>
      <x:c r="F11" s="61" t="str">
        <x:v>Stability</x:v>
      </x:c>
      <x:c r="G11" s="61" t="str">
        <x:v>MTH-003; MTH-004; MTH-005; MTH-006</x:v>
      </x:c>
      <x:c r="H11" s="61" t="str">
        <x:v>EVD-002; EVD-004; EVD-006</x:v>
      </x:c>
      <x:c r="I11" s="61" t="str">
        <x:v>Designed-study support</x:v>
      </x:c>
      <x:c r="J11" s="61" t="str">
        <x:v>Change-specific stability and method/reference effects require separate interpretation.</x:v>
      </x:c>
      <x:c r="K11" s="61" t="str">
        <x:v>Stability / Product quality</x:v>
      </x:c>
      <x:c r="L11" s="61" t="str">
        <x:v>In review</x:v>
      </x:c>
      <x:c r="M11" s="67" t="str">
        <x:f>IF(A11="","",IF(OR(B11="",C11="",D11="",E11="",F11="",G11="",H11="",I11="",J11="",K11="",L11=""),"Incomplete",IF(F11="Evidence required","Evidence required",IF(OR(I11="Hypothesis",I11="Observed association",I11="Contradictory or unresolved",L11&lt;&gt;"Reviewed"),"Review required","Ready for qualified review"))))</x:f>
        <x:v>Review required</x:v>
      </x:c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7" t="str">
        <x:f>IF(A12="","",IF(OR(B12="",C12="",D12="",E12="",F12="",G12="",H12="",I12="",J12="",K12="",L12=""),"Incomplete",IF(F12="Evidence required","Evidence required",IF(OR(I12="Hypothesis",I12="Observed association",I12="Contradictory or unresolved",L12&lt;&gt;"Reviewed"),"Review required","Ready for qualified review"))))</x:f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7" t="str">
        <x:f>IF(A13="","",IF(OR(B13="",C13="",D13="",E13="",F13="",G13="",H13="",I13="",J13="",K13="",L13=""),"Incomplete",IF(F13="Evidence required","Evidence required",IF(OR(I13="Hypothesis",I13="Observed association",I13="Contradictory or unresolved",L13&lt;&gt;"Reviewed"),"Review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7" t="str">
        <x:f>IF(A14="","",IF(OR(B14="",C14="",D14="",E14="",F14="",G14="",H14="",I14="",J14="",K14="",L14=""),"Incomplete",IF(F14="Evidence required","Evidence required",IF(OR(I14="Hypothesis",I14="Observed association",I14="Contradictory or unresolved",L14&lt;&gt;"Reviewed"),"Review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7" t="str">
        <x:f>IF(A15="","",IF(OR(B15="",C15="",D15="",E15="",F15="",G15="",H15="",I15="",J15="",K15="",L15=""),"Incomplete",IF(F15="Evidence required","Evidence required",IF(OR(I15="Hypothesis",I15="Observed association",I15="Contradictory or unresolved",L15&lt;&gt;"Reviewed"),"Review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7" t="str">
        <x:f>IF(A16="","",IF(OR(B16="",C16="",D16="",E16="",F16="",G16="",H16="",I16="",J16="",K16="",L16=""),"Incomplete",IF(F16="Evidence required","Evidence required",IF(OR(I16="Hypothesis",I16="Observed association",I16="Contradictory or unresolved",L16&lt;&gt;"Reviewed"),"Review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7" t="str">
        <x:f>IF(A17="","",IF(OR(B17="",C17="",D17="",E17="",F17="",G17="",H17="",I17="",J17="",K17="",L17=""),"Incomplete",IF(F17="Evidence required","Evidence required",IF(OR(I17="Hypothesis",I17="Observed association",I17="Contradictory or unresolved",L17&lt;&gt;"Reviewed"),"Review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7" t="str">
        <x:f>IF(A18="","",IF(OR(B18="",C18="",D18="",E18="",F18="",G18="",H18="",I18="",J18="",K18="",L18=""),"Incomplete",IF(F18="Evidence required","Evidence required",IF(OR(I18="Hypothesis",I18="Observed association",I18="Contradictory or unresolved",L18&lt;&gt;"Reviewed"),"Review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7" t="str">
        <x:f>IF(A19="","",IF(OR(B19="",C19="",D19="",E19="",F19="",G19="",H19="",I19="",J19="",K19="",L19=""),"Incomplete",IF(F19="Evidence required","Evidence required",IF(OR(I19="Hypothesis",I19="Observed association",I19="Contradictory or unresolved",L19&lt;&gt;"Reviewed"),"Review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7" t="str">
        <x:f>IF(A20="","",IF(OR(B20="",C20="",D20="",E20="",F20="",G20="",H20="",I20="",J20="",K20="",L20=""),"Incomplete",IF(F20="Evidence required","Evidence required",IF(OR(I20="Hypothesis",I20="Observed association",I20="Contradictory or unresolved",L20&lt;&gt;"Reviewed"),"Review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7" t="str">
        <x:f>IF(A21="","",IF(OR(B21="",C21="",D21="",E21="",F21="",G21="",H21="",I21="",J21="",K21="",L21=""),"Incomplete",IF(F21="Evidence required","Evidence required",IF(OR(I21="Hypothesis",I21="Observed association",I21="Contradictory or unresolved",L21&lt;&gt;"Reviewed"),"Review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7" t="str">
        <x:f>IF(A22="","",IF(OR(B22="",C22="",D22="",E22="",F22="",G22="",H22="",I22="",J22="",K22="",L22=""),"Incomplete",IF(F22="Evidence required","Evidence required",IF(OR(I22="Hypothesis",I22="Observed association",I22="Contradictory or unresolved",L22&lt;&gt;"Reviewed"),"Review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7" t="str">
        <x:f>IF(A23="","",IF(OR(B23="",C23="",D23="",E23="",F23="",G23="",H23="",I23="",J23="",K23="",L23=""),"Incomplete",IF(F23="Evidence required","Evidence required",IF(OR(I23="Hypothesis",I23="Observed association",I23="Contradictory or unresolved",L23&lt;&gt;"Reviewed"),"Review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7" t="str">
        <x:f>IF(A24="","",IF(OR(B24="",C24="",D24="",E24="",F24="",G24="",H24="",I24="",J24="",K24="",L24=""),"Incomplete",IF(F24="Evidence required","Evidence required",IF(OR(I24="Hypothesis",I24="Observed association",I24="Contradictory or unresolved",L24&lt;&gt;"Reviewed"),"Review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7" t="str">
        <x:f>IF(A25="","",IF(OR(B25="",C25="",D25="",E25="",F25="",G25="",H25="",I25="",J25="",K25="",L25=""),"Incomplete",IF(F25="Evidence required","Evidence required",IF(OR(I25="Hypothesis",I25="Observed association",I25="Contradictory or unresolved",L25&lt;&gt;"Reviewed"),"Review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7" t="str">
        <x:f>IF(A26="","",IF(OR(B26="",C26="",D26="",E26="",F26="",G26="",H26="",I26="",J26="",K26="",L26=""),"Incomplete",IF(F26="Evidence required","Evidence required",IF(OR(I26="Hypothesis",I26="Observed association",I26="Contradictory or unresolved",L26&lt;&gt;"Reviewed"),"Review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7" t="str">
        <x:f>IF(A27="","",IF(OR(B27="",C27="",D27="",E27="",F27="",G27="",H27="",I27="",J27="",K27="",L27=""),"Incomplete",IF(F27="Evidence required","Evidence required",IF(OR(I27="Hypothesis",I27="Observed association",I27="Contradictory or unresolved",L27&lt;&gt;"Reviewed"),"Review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7" t="str">
        <x:f>IF(A28="","",IF(OR(B28="",C28="",D28="",E28="",F28="",G28="",H28="",I28="",J28="",K28="",L28=""),"Incomplete",IF(F28="Evidence required","Evidence required",IF(OR(I28="Hypothesis",I28="Observed association",I28="Contradictory or unresolved",L28&lt;&gt;"Reviewed"),"Review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7" t="str">
        <x:f>IF(A29="","",IF(OR(B29="",C29="",D29="",E29="",F29="",G29="",H29="",I29="",J29="",K29="",L29=""),"Incomplete",IF(F29="Evidence required","Evidence required",IF(OR(I29="Hypothesis",I29="Observed association",I29="Contradictory or unresolved",L29&lt;&gt;"Reviewed"),"Review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7" t="str">
        <x:f>IF(A30="","",IF(OR(B30="",C30="",D30="",E30="",F30="",G30="",H30="",I30="",J30="",K30="",L30=""),"Incomplete",IF(F30="Evidence required","Evidence required",IF(OR(I30="Hypothesis",I30="Observed association",I30="Contradictory or unresolved",L30&lt;&gt;"Reviewed"),"Review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7" t="str">
        <x:f>IF(A31="","",IF(OR(B31="",C31="",D31="",E31="",F31="",G31="",H31="",I31="",J31="",K31="",L31=""),"Incomplete",IF(F31="Evidence required","Evidence required",IF(OR(I31="Hypothesis",I31="Observed association",I31="Contradictory or unresolved",L31&lt;&gt;"Reviewed"),"Review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7" t="str">
        <x:f>IF(A32="","",IF(OR(B32="",C32="",D32="",E32="",F32="",G32="",H32="",I32="",J32="",K32="",L32=""),"Incomplete",IF(F32="Evidence required","Evidence required",IF(OR(I32="Hypothesis",I32="Observed association",I32="Contradictory or unresolved",L32&lt;&gt;"Reviewed"),"Review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7" t="str">
        <x:f>IF(A33="","",IF(OR(B33="",C33="",D33="",E33="",F33="",G33="",H33="",I33="",J33="",K33="",L33=""),"Incomplete",IF(F33="Evidence required","Evidence required",IF(OR(I33="Hypothesis",I33="Observed association",I33="Contradictory or unresolved",L33&lt;&gt;"Reviewed"),"Review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7" t="str">
        <x:f>IF(A34="","",IF(OR(B34="",C34="",D34="",E34="",F34="",G34="",H34="",I34="",J34="",K34="",L34=""),"Incomplete",IF(F34="Evidence required","Evidence required",IF(OR(I34="Hypothesis",I34="Observed association",I34="Contradictory or unresolved",L34&lt;&gt;"Reviewed"),"Review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7" t="str">
        <x:f>IF(A35="","",IF(OR(B35="",C35="",D35="",E35="",F35="",G35="",H35="",I35="",J35="",K35="",L35=""),"Incomplete",IF(F35="Evidence required","Evidence required",IF(OR(I35="Hypothesis",I35="Observed association",I35="Contradictory or unresolved",L35&lt;&gt;"Reviewed"),"Review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7" t="str">
        <x:f>IF(A36="","",IF(OR(B36="",C36="",D36="",E36="",F36="",G36="",H36="",I36="",J36="",K36="",L36=""),"Incomplete",IF(F36="Evidence required","Evidence required",IF(OR(I36="Hypothesis",I36="Observed association",I36="Contradictory or unresolved",L36&lt;&gt;"Reviewed"),"Review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7" t="str">
        <x:f>IF(A37="","",IF(OR(B37="",C37="",D37="",E37="",F37="",G37="",H37="",I37="",J37="",K37="",L37=""),"Incomplete",IF(F37="Evidence required","Evidence required",IF(OR(I37="Hypothesis",I37="Observed association",I37="Contradictory or unresolved",L37&lt;&gt;"Reviewed"),"Review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7" t="str">
        <x:f>IF(A38="","",IF(OR(B38="",C38="",D38="",E38="",F38="",G38="",H38="",I38="",J38="",K38="",L38=""),"Incomplete",IF(F38="Evidence required","Evidence required",IF(OR(I38="Hypothesis",I38="Observed association",I38="Contradictory or unresolved",L38&lt;&gt;"Reviewed"),"Review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7" t="str">
        <x:f>IF(A39="","",IF(OR(B39="",C39="",D39="",E39="",F39="",G39="",H39="",I39="",J39="",K39="",L39=""),"Incomplete",IF(F39="Evidence required","Evidence required",IF(OR(I39="Hypothesis",I39="Observed association",I39="Contradictory or unresolved",L39&lt;&gt;"Reviewed"),"Review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7" t="str">
        <x:f>IF(A40="","",IF(OR(B40="",C40="",D40="",E40="",F40="",G40="",H40="",I40="",J40="",K40="",L40=""),"Incomplete",IF(F40="Evidence required","Evidence required",IF(OR(I40="Hypothesis",I40="Observed association",I40="Contradictory or unresolved",L40&lt;&gt;"Reviewed"),"Review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7" t="str">
        <x:f>IF(A41="","",IF(OR(B41="",C41="",D41="",E41="",F41="",G41="",H41="",I41="",J41="",K41="",L41=""),"Incomplete",IF(F41="Evidence required","Evidence required",IF(OR(I41="Hypothesis",I41="Observed association",I41="Contradictory or unresolved",L41&lt;&gt;"Reviewed"),"Review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7" t="str">
        <x:f>IF(A42="","",IF(OR(B42="",C42="",D42="",E42="",F42="",G42="",H42="",I42="",J42="",K42="",L42=""),"Incomplete",IF(F42="Evidence required","Evidence required",IF(OR(I42="Hypothesis",I42="Observed association",I42="Contradictory or unresolved",L42&lt;&gt;"Reviewed"),"Review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7" t="str">
        <x:f>IF(A43="","",IF(OR(B43="",C43="",D43="",E43="",F43="",G43="",H43="",I43="",J43="",K43="",L43=""),"Incomplete",IF(F43="Evidence required","Evidence required",IF(OR(I43="Hypothesis",I43="Observed association",I43="Contradictory or unresolved",L43&lt;&gt;"Reviewed"),"Review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7" t="str">
        <x:f>IF(A44="","",IF(OR(B44="",C44="",D44="",E44="",F44="",G44="",H44="",I44="",J44="",K44="",L44=""),"Incomplete",IF(F44="Evidence required","Evidence required",IF(OR(I44="Hypothesis",I44="Observed association",I44="Contradictory or unresolved",L44&lt;&gt;"Reviewed"),"Review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7" t="str">
        <x:f>IF(A45="","",IF(OR(B45="",C45="",D45="",E45="",F45="",G45="",H45="",I45="",J45="",K45="",L45=""),"Incomplete",IF(F45="Evidence required","Evidence required",IF(OR(I45="Hypothesis",I45="Observed association",I45="Contradictory or unresolved",L45&lt;&gt;"Reviewed"),"Review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7" t="str">
        <x:f>IF(A46="","",IF(OR(B46="",C46="",D46="",E46="",F46="",G46="",H46="",I46="",J46="",K46="",L46=""),"Incomplete",IF(F46="Evidence required","Evidence required",IF(OR(I46="Hypothesis",I46="Observed association",I46="Contradictory or unresolved",L46&lt;&gt;"Reviewed"),"Review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7" t="str">
        <x:f>IF(A47="","",IF(OR(B47="",C47="",D47="",E47="",F47="",G47="",H47="",I47="",J47="",K47="",L47=""),"Incomplete",IF(F47="Evidence required","Evidence required",IF(OR(I47="Hypothesis",I47="Observed association",I47="Contradictory or unresolved",L47&lt;&gt;"Reviewed"),"Review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7" t="str">
        <x:f>IF(A48="","",IF(OR(B48="",C48="",D48="",E48="",F48="",G48="",H48="",I48="",J48="",K48="",L48=""),"Incomplete",IF(F48="Evidence required","Evidence required",IF(OR(I48="Hypothesis",I48="Observed association",I48="Contradictory or unresolved",L48&lt;&gt;"Reviewed"),"Review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7" t="str">
        <x:f>IF(A49="","",IF(OR(B49="",C49="",D49="",E49="",F49="",G49="",H49="",I49="",J49="",K49="",L49=""),"Incomplete",IF(F49="Evidence required","Evidence required",IF(OR(I49="Hypothesis",I49="Observed association",I49="Contradictory or unresolved",L49&lt;&gt;"Reviewed"),"Review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7" t="str">
        <x:f>IF(A50="","",IF(OR(B50="",C50="",D50="",E50="",F50="",G50="",H50="",I50="",J50="",K50="",L50=""),"Incomplete",IF(F50="Evidence required","Evidence required",IF(OR(I50="Hypothesis",I50="Observed association",I50="Contradictory or unresolved",L50&lt;&gt;"Reviewed"),"Review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7" t="str">
        <x:f>IF(A51="","",IF(OR(B51="",C51="",D51="",E51="",F51="",G51="",H51="",I51="",J51="",K51="",L51=""),"Incomplete",IF(F51="Evidence required","Evidence required",IF(OR(I51="Hypothesis",I51="Observed association",I51="Contradictory or unresolved",L51&lt;&gt;"Reviewed"),"Review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7" t="str">
        <x:f>IF(A52="","",IF(OR(B52="",C52="",D52="",E52="",F52="",G52="",H52="",I52="",J52="",K52="",L52=""),"Incomplete",IF(F52="Evidence required","Evidence required",IF(OR(I52="Hypothesis",I52="Observed association",I52="Contradictory or unresolved",L52&lt;&gt;"Reviewed"),"Review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7" t="str">
        <x:f>IF(A53="","",IF(OR(B53="",C53="",D53="",E53="",F53="",G53="",H53="",I53="",J53="",K53="",L53=""),"Incomplete",IF(F53="Evidence required","Evidence required",IF(OR(I53="Hypothesis",I53="Observed association",I53="Contradictory or unresolved",L53&lt;&gt;"Reviewed"),"Review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7" t="str">
        <x:f>IF(A54="","",IF(OR(B54="",C54="",D54="",E54="",F54="",G54="",H54="",I54="",J54="",K54="",L54=""),"Incomplete",IF(F54="Evidence required","Evidence required",IF(OR(I54="Hypothesis",I54="Observed association",I54="Contradictory or unresolved",L54&lt;&gt;"Reviewed"),"Review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7" t="str">
        <x:f>IF(A55="","",IF(OR(B55="",C55="",D55="",E55="",F55="",G55="",H55="",I55="",J55="",K55="",L55=""),"Incomplete",IF(F55="Evidence required","Evidence required",IF(OR(I55="Hypothesis",I55="Observed association",I55="Contradictory or unresolved",L55&lt;&gt;"Reviewed"),"Review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7" t="str">
        <x:f>IF(A56="","",IF(OR(B56="",C56="",D56="",E56="",F56="",G56="",H56="",I56="",J56="",K56="",L56=""),"Incomplete",IF(F56="Evidence required","Evidence required",IF(OR(I56="Hypothesis",I56="Observed association",I56="Contradictory or unresolved",L56&lt;&gt;"Reviewed"),"Review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7" t="str">
        <x:f>IF(A57="","",IF(OR(B57="",C57="",D57="",E57="",F57="",G57="",H57="",I57="",J57="",K57="",L57=""),"Incomplete",IF(F57="Evidence required","Evidence required",IF(OR(I57="Hypothesis",I57="Observed association",I57="Contradictory or unresolved",L57&lt;&gt;"Reviewed"),"Review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7" t="str">
        <x:f>IF(A58="","",IF(OR(B58="",C58="",D58="",E58="",F58="",G58="",H58="",I58="",J58="",K58="",L58=""),"Incomplete",IF(F58="Evidence required","Evidence required",IF(OR(I58="Hypothesis",I58="Observed association",I58="Contradictory or unresolved",L58&lt;&gt;"Reviewed"),"Review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7" t="str">
        <x:f>IF(A59="","",IF(OR(B59="",C59="",D59="",E59="",F59="",G59="",H59="",I59="",J59="",K59="",L59=""),"Incomplete",IF(F59="Evidence required","Evidence required",IF(OR(I59="Hypothesis",I59="Observed association",I59="Contradictory or unresolved",L59&lt;&gt;"Reviewed"),"Review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7" t="str">
        <x:f>IF(A60="","",IF(OR(B60="",C60="",D60="",E60="",F60="",G60="",H60="",I60="",J60="",K60="",L60=""),"Incomplete",IF(F60="Evidence required","Evidence required",IF(OR(I60="Hypothesis",I60="Observed association",I60="Contradictory or unresolved",L60&lt;&gt;"Reviewed"),"Review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7" t="str">
        <x:f>IF(A61="","",IF(OR(B61="",C61="",D61="",E61="",F61="",G61="",H61="",I61="",J61="",K61="",L61=""),"Incomplete",IF(F61="Evidence required","Evidence required",IF(OR(I61="Hypothesis",I61="Observed association",I61="Contradictory or unresolved",L61&lt;&gt;"Reviewed"),"Review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7" t="str">
        <x:f>IF(A62="","",IF(OR(B62="",C62="",D62="",E62="",F62="",G62="",H62="",I62="",J62="",K62="",L62=""),"Incomplete",IF(F62="Evidence required","Evidence required",IF(OR(I62="Hypothesis",I62="Observed association",I62="Contradictory or unresolved",L62&lt;&gt;"Reviewed"),"Review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7" t="str">
        <x:f>IF(A63="","",IF(OR(B63="",C63="",D63="",E63="",F63="",G63="",H63="",I63="",J63="",K63="",L63=""),"Incomplete",IF(F63="Evidence required","Evidence required",IF(OR(I63="Hypothesis",I63="Observed association",I63="Contradictory or unresolved",L63&lt;&gt;"Reviewed"),"Review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7" t="str">
        <x:f>IF(A64="","",IF(OR(B64="",C64="",D64="",E64="",F64="",G64="",H64="",I64="",J64="",K64="",L64=""),"Incomplete",IF(F64="Evidence required","Evidence required",IF(OR(I64="Hypothesis",I64="Observed association",I64="Contradictory or unresolved",L64&lt;&gt;"Reviewed"),"Review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7" t="str">
        <x:f>IF(A65="","",IF(OR(B65="",C65="",D65="",E65="",F65="",G65="",H65="",I65="",J65="",K65="",L65=""),"Incomplete",IF(F65="Evidence required","Evidence required",IF(OR(I65="Hypothesis",I65="Observed association",I65="Contradictory or unresolved",L65&lt;&gt;"Reviewed"),"Review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7" t="str">
        <x:f>IF(A66="","",IF(OR(B66="",C66="",D66="",E66="",F66="",G66="",H66="",I66="",J66="",K66="",L66=""),"Incomplete",IF(F66="Evidence required","Evidence required",IF(OR(I66="Hypothesis",I66="Observed association",I66="Contradictory or unresolved",L66&lt;&gt;"Reviewed"),"Review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7" t="str">
        <x:f>IF(A67="","",IF(OR(B67="",C67="",D67="",E67="",F67="",G67="",H67="",I67="",J67="",K67="",L67=""),"Incomplete",IF(F67="Evidence required","Evidence required",IF(OR(I67="Hypothesis",I67="Observed association",I67="Contradictory or unresolved",L67&lt;&gt;"Reviewed"),"Review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7" t="str">
        <x:f>IF(A68="","",IF(OR(B68="",C68="",D68="",E68="",F68="",G68="",H68="",I68="",J68="",K68="",L68=""),"Incomplete",IF(F68="Evidence required","Evidence required",IF(OR(I68="Hypothesis",I68="Observed association",I68="Contradictory or unresolved",L68&lt;&gt;"Reviewed"),"Review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7" t="str">
        <x:f>IF(A69="","",IF(OR(B69="",C69="",D69="",E69="",F69="",G69="",H69="",I69="",J69="",K69="",L69=""),"Incomplete",IF(F69="Evidence required","Evidence required",IF(OR(I69="Hypothesis",I69="Observed association",I69="Contradictory or unresolved",L69&lt;&gt;"Reviewed"),"Review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7" t="str">
        <x:f>IF(A70="","",IF(OR(B70="",C70="",D70="",E70="",F70="",G70="",H70="",I70="",J70="",K70="",L70=""),"Incomplete",IF(F70="Evidence required","Evidence required",IF(OR(I70="Hypothesis",I70="Observed association",I70="Contradictory or unresolved",L70&lt;&gt;"Reviewed"),"Review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7" t="str">
        <x:f>IF(A71="","",IF(OR(B71="",C71="",D71="",E71="",F71="",G71="",H71="",I71="",J71="",K71="",L71=""),"Incomplete",IF(F71="Evidence required","Evidence required",IF(OR(I71="Hypothesis",I71="Observed association",I71="Contradictory or unresolved",L71&lt;&gt;"Reviewed"),"Review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7" t="str">
        <x:f>IF(A72="","",IF(OR(B72="",C72="",D72="",E72="",F72="",G72="",H72="",I72="",J72="",K72="",L72=""),"Incomplete",IF(F72="Evidence required","Evidence required",IF(OR(I72="Hypothesis",I72="Observed association",I72="Contradictory or unresolved",L72&lt;&gt;"Reviewed"),"Review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7" t="str">
        <x:f>IF(A73="","",IF(OR(B73="",C73="",D73="",E73="",F73="",G73="",H73="",I73="",J73="",K73="",L73=""),"Incomplete",IF(F73="Evidence required","Evidence required",IF(OR(I73="Hypothesis",I73="Observed association",I73="Contradictory or unresolved",L73&lt;&gt;"Reviewed"),"Review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7" t="str">
        <x:f>IF(A74="","",IF(OR(B74="",C74="",D74="",E74="",F74="",G74="",H74="",I74="",J74="",K74="",L74=""),"Incomplete",IF(F74="Evidence required","Evidence required",IF(OR(I74="Hypothesis",I74="Observed association",I74="Contradictory or unresolved",L74&lt;&gt;"Reviewed"),"Review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7" t="str">
        <x:f>IF(A75="","",IF(OR(B75="",C75="",D75="",E75="",F75="",G75="",H75="",I75="",J75="",K75="",L75=""),"Incomplete",IF(F75="Evidence required","Evidence required",IF(OR(I75="Hypothesis",I75="Observed association",I75="Contradictory or unresolved",L75&lt;&gt;"Reviewed"),"Review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7" t="str">
        <x:f>IF(A76="","",IF(OR(B76="",C76="",D76="",E76="",F76="",G76="",H76="",I76="",J76="",K76="",L76=""),"Incomplete",IF(F76="Evidence required","Evidence required",IF(OR(I76="Hypothesis",I76="Observed association",I76="Contradictory or unresolved",L76&lt;&gt;"Reviewed"),"Review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7" t="str">
        <x:f>IF(A77="","",IF(OR(B77="",C77="",D77="",E77="",F77="",G77="",H77="",I77="",J77="",K77="",L77=""),"Incomplete",IF(F77="Evidence required","Evidence required",IF(OR(I77="Hypothesis",I77="Observed association",I77="Contradictory or unresolved",L77&lt;&gt;"Reviewed"),"Review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7" t="str">
        <x:f>IF(A78="","",IF(OR(B78="",C78="",D78="",E78="",F78="",G78="",H78="",I78="",J78="",K78="",L78=""),"Incomplete",IF(F78="Evidence required","Evidence required",IF(OR(I78="Hypothesis",I78="Observed association",I78="Contradictory or unresolved",L78&lt;&gt;"Reviewed"),"Review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7" t="str">
        <x:f>IF(A79="","",IF(OR(B79="",C79="",D79="",E79="",F79="",G79="",H79="",I79="",J79="",K79="",L79=""),"Incomplete",IF(F79="Evidence required","Evidence required",IF(OR(I79="Hypothesis",I79="Observed association",I79="Contradictory or unresolved",L79&lt;&gt;"Reviewed"),"Review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7" t="str">
        <x:f>IF(A80="","",IF(OR(B80="",C80="",D80="",E80="",F80="",G80="",H80="",I80="",J80="",K80="",L80=""),"Incomplete",IF(F80="Evidence required","Evidence required",IF(OR(I80="Hypothesis",I80="Observed association",I80="Contradictory or unresolved",L80&lt;&gt;"Reviewed"),"Review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7" t="str">
        <x:f>IF(A81="","",IF(OR(B81="",C81="",D81="",E81="",F81="",G81="",H81="",I81="",J81="",K81="",L81=""),"Incomplete",IF(F81="Evidence required","Evidence required",IF(OR(I81="Hypothesis",I81="Observed association",I81="Contradictory or unresolved",L81&lt;&gt;"Reviewed"),"Review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7" t="str">
        <x:f>IF(A82="","",IF(OR(B82="",C82="",D82="",E82="",F82="",G82="",H82="",I82="",J82="",K82="",L82=""),"Incomplete",IF(F82="Evidence required","Evidence required",IF(OR(I82="Hypothesis",I82="Observed association",I82="Contradictory or unresolved",L82&lt;&gt;"Reviewed"),"Review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7" t="str">
        <x:f>IF(A83="","",IF(OR(B83="",C83="",D83="",E83="",F83="",G83="",H83="",I83="",J83="",K83="",L83=""),"Incomplete",IF(F83="Evidence required","Evidence required",IF(OR(I83="Hypothesis",I83="Observed association",I83="Contradictory or unresolved",L83&lt;&gt;"Reviewed"),"Review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7" t="str">
        <x:f>IF(A84="","",IF(OR(B84="",C84="",D84="",E84="",F84="",G84="",H84="",I84="",J84="",K84="",L84=""),"Incomplete",IF(F84="Evidence required","Evidence required",IF(OR(I84="Hypothesis",I84="Observed association",I84="Contradictory or unresolved",L84&lt;&gt;"Reviewed"),"Review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7" t="str">
        <x:f>IF(A85="","",IF(OR(B85="",C85="",D85="",E85="",F85="",G85="",H85="",I85="",J85="",K85="",L85=""),"Incomplete",IF(F85="Evidence required","Evidence required",IF(OR(I85="Hypothesis",I85="Observed association",I85="Contradictory or unresolved",L85&lt;&gt;"Reviewed"),"Review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7" t="str">
        <x:f>IF(A86="","",IF(OR(B86="",C86="",D86="",E86="",F86="",G86="",H86="",I86="",J86="",K86="",L86=""),"Incomplete",IF(F86="Evidence required","Evidence required",IF(OR(I86="Hypothesis",I86="Observed association",I86="Contradictory or unresolved",L86&lt;&gt;"Reviewed"),"Review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7" t="str">
        <x:f>IF(A87="","",IF(OR(B87="",C87="",D87="",E87="",F87="",G87="",H87="",I87="",J87="",K87="",L87=""),"Incomplete",IF(F87="Evidence required","Evidence required",IF(OR(I87="Hypothesis",I87="Observed association",I87="Contradictory or unresolved",L87&lt;&gt;"Reviewed"),"Review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7" t="str">
        <x:f>IF(A88="","",IF(OR(B88="",C88="",D88="",E88="",F88="",G88="",H88="",I88="",J88="",K88="",L88=""),"Incomplete",IF(F88="Evidence required","Evidence required",IF(OR(I88="Hypothesis",I88="Observed association",I88="Contradictory or unresolved",L88&lt;&gt;"Reviewed"),"Review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7" t="str">
        <x:f>IF(A89="","",IF(OR(B89="",C89="",D89="",E89="",F89="",G89="",H89="",I89="",J89="",K89="",L89=""),"Incomplete",IF(F89="Evidence required","Evidence required",IF(OR(I89="Hypothesis",I89="Observed association",I89="Contradictory or unresolved",L89&lt;&gt;"Reviewed"),"Review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7" t="str">
        <x:f>IF(A90="","",IF(OR(B90="",C90="",D90="",E90="",F90="",G90="",H90="",I90="",J90="",K90="",L90=""),"Incomplete",IF(F90="Evidence required","Evidence required",IF(OR(I90="Hypothesis",I90="Observed association",I90="Contradictory or unresolved",L90&lt;&gt;"Reviewed"),"Review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7" t="str">
        <x:f>IF(A91="","",IF(OR(B91="",C91="",D91="",E91="",F91="",G91="",H91="",I91="",J91="",K91="",L91=""),"Incomplete",IF(F91="Evidence required","Evidence required",IF(OR(I91="Hypothesis",I91="Observed association",I91="Contradictory or unresolved",L91&lt;&gt;"Reviewed"),"Review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7" t="str">
        <x:f>IF(A92="","",IF(OR(B92="",C92="",D92="",E92="",F92="",G92="",H92="",I92="",J92="",K92="",L92=""),"Incomplete",IF(F92="Evidence required","Evidence required",IF(OR(I92="Hypothesis",I92="Observed association",I92="Contradictory or unresolved",L92&lt;&gt;"Reviewed"),"Review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7" t="str">
        <x:f>IF(A93="","",IF(OR(B93="",C93="",D93="",E93="",F93="",G93="",H93="",I93="",J93="",K93="",L93=""),"Incomplete",IF(F93="Evidence required","Evidence required",IF(OR(I93="Hypothesis",I93="Observed association",I93="Contradictory or unresolved",L93&lt;&gt;"Reviewed"),"Review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7" t="str">
        <x:f>IF(A94="","",IF(OR(B94="",C94="",D94="",E94="",F94="",G94="",H94="",I94="",J94="",K94="",L94=""),"Incomplete",IF(F94="Evidence required","Evidence required",IF(OR(I94="Hypothesis",I94="Observed association",I94="Contradictory or unresolved",L94&lt;&gt;"Reviewed"),"Review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7" t="str">
        <x:f>IF(A95="","",IF(OR(B95="",C95="",D95="",E95="",F95="",G95="",H95="",I95="",J95="",K95="",L95=""),"Incomplete",IF(F95="Evidence required","Evidence required",IF(OR(I95="Hypothesis",I95="Observed association",I95="Contradictory or unresolved",L95&lt;&gt;"Reviewed"),"Review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7" t="str">
        <x:f>IF(A96="","",IF(OR(B96="",C96="",D96="",E96="",F96="",G96="",H96="",I96="",J96="",K96="",L96=""),"Incomplete",IF(F96="Evidence required","Evidence required",IF(OR(I96="Hypothesis",I96="Observed association",I96="Contradictory or unresolved",L96&lt;&gt;"Reviewed"),"Review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7" t="str">
        <x:f>IF(A97="","",IF(OR(B97="",C97="",D97="",E97="",F97="",G97="",H97="",I97="",J97="",K97="",L97=""),"Incomplete",IF(F97="Evidence required","Evidence required",IF(OR(I97="Hypothesis",I97="Observed association",I97="Contradictory or unresolved",L97&lt;&gt;"Reviewed"),"Review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7" t="str">
        <x:f>IF(A98="","",IF(OR(B98="",C98="",D98="",E98="",F98="",G98="",H98="",I98="",J98="",K98="",L98=""),"Incomplete",IF(F98="Evidence required","Evidence required",IF(OR(I98="Hypothesis",I98="Observed association",I98="Contradictory or unresolved",L98&lt;&gt;"Reviewed"),"Review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7" t="str">
        <x:f>IF(A99="","",IF(OR(B99="",C99="",D99="",E99="",F99="",G99="",H99="",I99="",J99="",K99="",L99=""),"Incomplete",IF(F99="Evidence required","Evidence required",IF(OR(I99="Hypothesis",I99="Observed association",I99="Contradictory or unresolved",L99&lt;&gt;"Reviewed"),"Review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7" t="str">
        <x:f>IF(A100="","",IF(OR(B100="",C100="",D100="",E100="",F100="",G100="",H100="",I100="",J100="",K100="",L100=""),"Incomplete",IF(F100="Evidence required","Evidence required",IF(OR(I100="Hypothesis",I100="Observed association",I100="Contradictory or unresolved",L100&lt;&gt;"Reviewed"),"Review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7" t="str">
        <x:f>IF(A101="","",IF(OR(B101="",C101="",D101="",E101="",F101="",G101="",H101="",I101="",J101="",K101="",L101=""),"Incomplete",IF(F101="Evidence required","Evidence required",IF(OR(I101="Hypothesis",I101="Observed association",I101="Contradictory or unresolved",L101&lt;&gt;"Reviewed"),"Review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7" t="str">
        <x:f>IF(A102="","",IF(OR(B102="",C102="",D102="",E102="",F102="",G102="",H102="",I102="",J102="",K102="",L102=""),"Incomplete",IF(F102="Evidence required","Evidence required",IF(OR(I102="Hypothesis",I102="Observed association",I102="Contradictory or unresolved",L102&lt;&gt;"Reviewed"),"Review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7" t="str">
        <x:f>IF(A103="","",IF(OR(B103="",C103="",D103="",E103="",F103="",G103="",H103="",I103="",J103="",K103="",L103=""),"Incomplete",IF(F103="Evidence required","Evidence required",IF(OR(I103="Hypothesis",I103="Observed association",I103="Contradictory or unresolved",L103&lt;&gt;"Reviewed"),"Review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7" t="str">
        <x:f>IF(A104="","",IF(OR(B104="",C104="",D104="",E104="",F104="",G104="",H104="",I104="",J104="",K104="",L104=""),"Incomplete",IF(F104="Evidence required","Evidence required",IF(OR(I104="Hypothesis",I104="Observed association",I104="Contradictory or unresolved",L104&lt;&gt;"Reviewed"),"Review required","Ready for qualified review"))))</x:f>
      </x:c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8" t="str">
        <x:f>IF(A105="","",IF(OR(B105="",C105="",D105="",E105="",F105="",G105="",H105="",I105="",J105="",K105="",L105=""),"Incomplete",IF(F105="Evidence required","Evidence required",IF(OR(I105="Hypothesis",I105="Observed association",I105="Contradictory or unresolved",L105&lt;&gt;"Reviewed"),"Review required","Ready for qualified review"))))</x:f>
      </x:c>
    </x:row>
  </x:sheetData>
  <x:mergeCells>
    <x:mergeCell ref="A1:M1"/>
    <x:mergeCell ref="A2:M2"/>
  </x:mergeCells>
  <x:conditionalFormatting sqref="M6:M105">
    <x:cfRule type="containsText" dxfId="14" priority="1" operator="containsText" text="Incomplete"/>
    <x:cfRule type="containsText" dxfId="15" priority="2" operator="containsText" text="Evidence required"/>
    <x:cfRule type="containsText" dxfId="16" priority="3" operator="containsText" text="Review required"/>
    <x:cfRule type="containsText" dxfId="17" priority="4" operator="containsText" text="Open"/>
    <x:cfRule type="containsText" dxfId="18" priority="5" operator="containsText" text="Overdue"/>
    <x:cfRule type="containsText" dxfId="19" priority="6" operator="containsText" text="Ready"/>
    <x:cfRule type="containsText" dxfId="20" priority="7" operator="containsText" text="Closed"/>
  </x:conditionalFormatting>
  <x:dataValidations count="4">
    <x:dataValidation type="list" sqref="C6:C105">
      <x:formula1>"Identity / structure,Heterogeneity / variant,Biological activity / potency,Product-related substance,Product-related impurity,Degradation product,Process-related impurity,Contaminant,Quantity,Delivery / performance,Other"</x:formula1>
    </x:dataValidation>
    <x:dataValidation type="list" sqref="F6:F105">
      <x:formula1>"Raw material,Process design,Process parameter,IPC / monitoring,Characterization,Release specification,Stability,Continued verification,Multiple controls,Evidence required"</x:formula1>
    </x:dataValidation>
    <x:dataValidation type="list" sqref="I6:I105">
      <x:formula1>"Hypothesis,Observed association,Designed-study support,Multi-source support,Contradictory or unresolved"</x:formula1>
    </x:dataValidation>
    <x:dataValidation type="list" sqref="L6:L105">
      <x:formula1>"Not started,Draft,In review,Reviewed"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24" hidden="0" customWidth="1"/>
    <x:col min="4" max="4" width="23" hidden="0" customWidth="1"/>
    <x:col min="5" max="5" width="19" hidden="0" customWidth="1"/>
    <x:col min="6" max="6" width="38" hidden="0" customWidth="1"/>
    <x:col min="7" max="7" width="25" hidden="0" customWidth="1"/>
    <x:col min="8" max="8" width="35" hidden="0" customWidth="1"/>
    <x:col min="9" max="9" width="34" hidden="0" customWidth="1"/>
    <x:col min="10" max="10" width="34" hidden="0" customWidth="1"/>
    <x:col min="11" max="11" width="36" hidden="0" customWidth="1"/>
    <x:col min="12" max="12" width="18" hidden="0" customWidth="1"/>
    <x:col min="13" max="13" width="32" hidden="0" customWidth="1"/>
    <x:col min="14" max="14" width="25" hidden="0" customWidth="1"/>
    <x:col min="15" max="15" width="17" hidden="0" customWidth="1"/>
    <x:col min="16" max="16" width="22" hidden="0" customWidth="1"/>
  </x:cols>
  <x:sheetData>
    <x:row r="1" ht="28" customHeight="1">
      <x:c r="A1" s="3" t="str">
        <x:v>Method Portfolio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Record purpose, lifecycle use, unique evidence, performance, reference system, reportability, blind spots, and change triggers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5" ht="38" customHeight="1">
      <x:c r="A5" s="47" t="str">
        <x:v>Method ID</x:v>
      </x:c>
      <x:c r="B5" s="48" t="str">
        <x:v>Procedure / technology</x:v>
      </x:c>
      <x:c r="C5" s="48" t="str">
        <x:v>Intended purpose</x:v>
      </x:c>
      <x:c r="D5" s="48" t="str">
        <x:v>Lifecycle use</x:v>
      </x:c>
      <x:c r="E5" s="48" t="str">
        <x:v>Attribute IDs</x:v>
      </x:c>
      <x:c r="F5" s="48" t="str">
        <x:v>Measurement principle / unique contribution</x:v>
      </x:c>
      <x:c r="G5" s="48" t="str">
        <x:v>Matrix / presentation</x:v>
      </x:c>
      <x:c r="H5" s="48" t="str">
        <x:v>Performance / validation reference</x:v>
      </x:c>
      <x:c r="I5" s="48" t="str">
        <x:v>Reference / control system</x:v>
      </x:c>
      <x:c r="J5" s="48" t="str">
        <x:v>Reportability gate</x:v>
      </x:c>
      <x:c r="K5" s="48" t="str">
        <x:v>Blind spot / interference</x:v>
      </x:c>
      <x:c r="L5" s="48" t="str">
        <x:v>Evidence IDs</x:v>
      </x:c>
      <x:c r="M5" s="48" t="str">
        <x:v>Lifecycle trigger</x:v>
      </x:c>
      <x:c r="N5" s="48" t="str">
        <x:v>Owner role</x:v>
      </x:c>
      <x:c r="O5" s="48" t="str">
        <x:v>Review status</x:v>
      </x:c>
      <x:c r="P5" s="49" t="str">
        <x:v>Attention</x:v>
      </x:c>
    </x:row>
    <x:row r="6">
      <x:c r="A6" s="60" t="str">
        <x:v>MTH-001</x:v>
      </x:c>
      <x:c r="B6" s="60" t="str">
        <x:v>Peptide map with mass confirmation</x:v>
      </x:c>
      <x:c r="C6" s="60" t="str">
        <x:v>Identity</x:v>
      </x:c>
      <x:c r="D6" s="60" t="str">
        <x:v>Characterization</x:v>
      </x:c>
      <x:c r="E6" s="60" t="str">
        <x:v>ATT-001</x:v>
      </x:c>
      <x:c r="F6" s="60" t="str">
        <x:v>Sequence and selected modification evidence with localization support.</x:v>
      </x:c>
      <x:c r="G6" s="60" t="str">
        <x:v>Fictional DS / controlled digest</x:v>
      </x:c>
      <x:c r="H6" s="60" t="str">
        <x:v>FIC-VAL-001; characterization fitness review</x:v>
      </x:c>
      <x:c r="I6" s="60" t="str">
        <x:v>REF-001 plus controlled system controls</x:v>
      </x:c>
      <x:c r="J6" s="60" t="str">
        <x:v>Controlled identity and data-quality criteria</x:v>
      </x:c>
      <x:c r="K6" s="60" t="str">
        <x:v>Coverage and response vary by peptide, preparation, modification, and data processing.</x:v>
      </x:c>
      <x:c r="L6" s="60" t="str">
        <x:v>EVD-001; EVD-003; EVD-004</x:v>
      </x:c>
      <x:c r="M6" s="60" t="str">
        <x:v>Procedure, instrument, software, digestion, reference, or process change</x:v>
      </x:c>
      <x:c r="N6" s="60" t="str">
        <x:v>Analytical development</x:v>
      </x:c>
      <x:c r="O6" s="60" t="str">
        <x:v>In review</x:v>
      </x:c>
      <x:c r="P6" s="66" t="str">
        <x:f>IF(A6="","",IF(OR(B6="",C6="",D6="",E6="",F6="",G6="",H6="",I6="",J6="",K6="",L6="",M6="",N6="",O6=""),"Incomplete",IF(OR(H6="Evidence required",I6="Evidence required",J6="Evidence required"),"Evidence required",IF(O6&lt;&gt;"Reviewed","Review required","Ready for qualified review"))))</x:f>
        <x:v>Review required</x:v>
      </x:c>
    </x:row>
    <x:row r="7">
      <x:c r="A7" s="61" t="str">
        <x:v>MTH-002</x:v>
      </x:c>
      <x:c r="B7" s="61" t="str">
        <x:v>Intact/subunit mass and orthogonal structural panel</x:v>
      </x:c>
      <x:c r="C7" s="61" t="str">
        <x:v>Structure / characterization</x:v>
      </x:c>
      <x:c r="D7" s="61" t="str">
        <x:v>Comparability</x:v>
      </x:c>
      <x:c r="E7" s="61" t="str">
        <x:v>ATT-001; ATT-002</x:v>
      </x:c>
      <x:c r="F7" s="61" t="str">
        <x:v>Complementary mass and structural fingerprint for pre/post-change comparison.</x:v>
      </x:c>
      <x:c r="G7" s="61" t="str">
        <x:v>Fictional DS / representative lots</x:v>
      </x:c>
      <x:c r="H7" s="61" t="str">
        <x:v>FIC-CHAR-002; qualified characterization procedure</x:v>
      </x:c>
      <x:c r="I7" s="61" t="str">
        <x:v>REF-001; REF-002</x:v>
      </x:c>
      <x:c r="J7" s="61" t="str">
        <x:v>Controlled run validity and interpretation record</x:v>
      </x:c>
      <x:c r="K7" s="61" t="str">
        <x:v>May not localize every modification or establish functional relevance alone.</x:v>
      </x:c>
      <x:c r="L7" s="61" t="str">
        <x:v>EVD-001; EVD-004; EVD-005</x:v>
      </x:c>
      <x:c r="M7" s="61" t="str">
        <x:v>Process, product, reference, instrument, model, or software change</x:v>
      </x:c>
      <x:c r="N7" s="61" t="str">
        <x:v>Analytical development / Product quality</x:v>
      </x:c>
      <x:c r="O7" s="61" t="str">
        <x:v>In review</x:v>
      </x:c>
      <x:c r="P7" s="67" t="str">
        <x:f>IF(A7="","",IF(OR(B7="",C7="",D7="",E7="",F7="",G7="",H7="",I7="",J7="",K7="",L7="",M7="",N7="",O7=""),"Incomplete",IF(OR(H7="Evidence required",I7="Evidence required",J7="Evidence required"),"Evidence required",IF(O7&lt;&gt;"Reviewed","Review required","Ready for qualified review"))))</x:f>
        <x:v>Review required</x:v>
      </x:c>
    </x:row>
    <x:row r="8">
      <x:c r="A8" s="61" t="str">
        <x:v>MTH-003</x:v>
      </x:c>
      <x:c r="B8" s="61" t="str">
        <x:v>Charge-variant separation with fraction follow-up</x:v>
      </x:c>
      <x:c r="C8" s="61" t="str">
        <x:v>Purity / impurity</x:v>
      </x:c>
      <x:c r="D8" s="61" t="str">
        <x:v>Comparability</x:v>
      </x:c>
      <x:c r="E8" s="61" t="str">
        <x:v>ATT-002; ATT-006</x:v>
      </x:c>
      <x:c r="F8" s="61" t="str">
        <x:v>Charge-profile distribution plus controlled fraction characterization question.</x:v>
      </x:c>
      <x:c r="G8" s="61" t="str">
        <x:v>Fictional DS / DP as applicable</x:v>
      </x:c>
      <x:c r="H8" s="61" t="str">
        <x:v>FIC-VAL-003; method and fraction-study references</x:v>
      </x:c>
      <x:c r="I8" s="61" t="str">
        <x:v>REF-001; controlled system suitability</x:v>
      </x:c>
      <x:c r="J8" s="61" t="str">
        <x:v>Controlled SST, integration, reference, and reportability rules</x:v>
      </x:c>
      <x:c r="K8" s="61" t="str">
        <x:v>Relative area and co-migration do not establish identity, mass, mechanism, or clinical relevance.</x:v>
      </x:c>
      <x:c r="L8" s="61" t="str">
        <x:v>EVD-001; EVD-003; EVD-004; EVD-006</x:v>
      </x:c>
      <x:c r="M8" s="61" t="str">
        <x:v>Column, reagent, instrument, integration, reference, process, or stability change</x:v>
      </x:c>
      <x:c r="N8" s="61" t="str">
        <x:v>Analytical development / QC</x:v>
      </x:c>
      <x:c r="O8" s="61" t="str">
        <x:v>In review</x:v>
      </x:c>
      <x:c r="P8" s="67" t="str">
        <x:f>IF(A8="","",IF(OR(B8="",C8="",D8="",E8="",F8="",G8="",H8="",I8="",J8="",K8="",L8="",M8="",N8="",O8=""),"Incomplete",IF(OR(H8="Evidence required",I8="Evidence required",J8="Evidence required"),"Evidence required",IF(O8&lt;&gt;"Reviewed","Review required","Ready for qualified review"))))</x:f>
        <x:v>Review required</x:v>
      </x:c>
    </x:row>
    <x:row r="9">
      <x:c r="A9" s="61" t="str">
        <x:v>MTH-004</x:v>
      </x:c>
      <x:c r="B9" s="61" t="str">
        <x:v>Size-exclusion separation</x:v>
      </x:c>
      <x:c r="C9" s="61" t="str">
        <x:v>Purity / impurity</x:v>
      </x:c>
      <x:c r="D9" s="61" t="str">
        <x:v>Release</x:v>
      </x:c>
      <x:c r="E9" s="61" t="str">
        <x:v>ATT-004; ATT-006</x:v>
      </x:c>
      <x:c r="F9" s="61" t="str">
        <x:v>Soluble size-variant distribution under controlled method conditions.</x:v>
      </x:c>
      <x:c r="G9" s="61" t="str">
        <x:v>Fictional DS / DP</x:v>
      </x:c>
      <x:c r="H9" s="61" t="str">
        <x:v>FIC-VAL-004; current validation reference</x:v>
      </x:c>
      <x:c r="I9" s="61" t="str">
        <x:v>REF-001; system suitability control</x:v>
      </x:c>
      <x:c r="J9" s="61" t="str">
        <x:v>Controlled SST, integration, sample handling, and reportable-result rules</x:v>
      </x:c>
      <x:c r="K9" s="61" t="str">
        <x:v>May miss or alter particles and some reversible/column-interacting species.</x:v>
      </x:c>
      <x:c r="L9" s="61" t="str">
        <x:v>EVD-001; EVD-003; EVD-004</x:v>
      </x:c>
      <x:c r="M9" s="61" t="str">
        <x:v>Column, mobile phase, sample handling, instrument, site, product, or reference change</x:v>
      </x:c>
      <x:c r="N9" s="61" t="str">
        <x:v>QC / Analytical development</x:v>
      </x:c>
      <x:c r="O9" s="61" t="str">
        <x:v>Reviewed</x:v>
      </x:c>
      <x:c r="P9" s="67" t="str">
        <x:f>IF(A9="","",IF(OR(B9="",C9="",D9="",E9="",F9="",G9="",H9="",I9="",J9="",K9="",L9="",M9="",N9="",O9=""),"Incomplete",IF(OR(H9="Evidence required",I9="Evidence required",J9="Evidence required"),"Evidence required",IF(O9&lt;&gt;"Reviewed","Review required","Ready for qualified review"))))</x:f>
        <x:v>Ready for qualified review</x:v>
      </x:c>
    </x:row>
    <x:row r="10">
      <x:c r="A10" s="61" t="str">
        <x:v>MTH-005</x:v>
      </x:c>
      <x:c r="B10" s="61" t="str">
        <x:v>Cell-based relative-potency procedure</x:v>
      </x:c>
      <x:c r="C10" s="61" t="str">
        <x:v>Potency / activity</x:v>
      </x:c>
      <x:c r="D10" s="61" t="str">
        <x:v>Release</x:v>
      </x:c>
      <x:c r="E10" s="61" t="str">
        <x:v>ATT-002; ATT-003; ATT-006</x:v>
      </x:c>
      <x:c r="F10" s="61" t="str">
        <x:v>Mechanism-relevant fictional cell response relative to a controlled reference.</x:v>
      </x:c>
      <x:c r="G10" s="61" t="str">
        <x:v>Fictional DP matrix</x:v>
      </x:c>
      <x:c r="H10" s="61" t="str">
        <x:v>FIC-VAL-005 plus transfer plan FIC-TR-005</x:v>
      </x:c>
      <x:c r="I10" s="61" t="str">
        <x:v>REF-001; REF-003; REF-004; controlled calibration model</x:v>
      </x:c>
      <x:c r="J10" s="61" t="str">
        <x:v>Controlled reference response, curve comparability, model, cell/reagent controls, and reportability rules</x:v>
      </x:c>
      <x:c r="K10" s="61" t="str">
        <x:v>Product, reference, cells, reagents, plate, analyst, site, model, and sample matrix can affect response.</x:v>
      </x:c>
      <x:c r="L10" s="61" t="str">
        <x:v>EVD-001; EVD-002; EVD-003; EVD-007; EVD-008</x:v>
      </x:c>
      <x:c r="M10" s="61" t="str">
        <x:v>Reference, cell bank, reagent, site, reader, software, model, procedure, or product change</x:v>
      </x:c>
      <x:c r="N10" s="61" t="str">
        <x:v>Bioassay / Statistics / QC</x:v>
      </x:c>
      <x:c r="O10" s="61" t="str">
        <x:v>In review</x:v>
      </x:c>
      <x:c r="P10" s="67" t="str">
        <x:f>IF(A10="","",IF(OR(B10="",C10="",D10="",E10="",F10="",G10="",H10="",I10="",J10="",K10="",L10="",M10="",N10="",O10=""),"Incomplete",IF(OR(H10="Evidence required",I10="Evidence required",J10="Evidence required"),"Evidence required",IF(O10&lt;&gt;"Reviewed","Review required","Ready for qualified review"))))</x:f>
        <x:v>Review required</x:v>
      </x:c>
    </x:row>
    <x:row r="11">
      <x:c r="A11" s="61" t="str">
        <x:v>MTH-006</x:v>
      </x:c>
      <x:c r="B11" s="61" t="str">
        <x:v>Particle imaging / counting panel</x:v>
      </x:c>
      <x:c r="C11" s="61" t="str">
        <x:v>Purity / impurity</x:v>
      </x:c>
      <x:c r="D11" s="61" t="str">
        <x:v>Stability</x:v>
      </x:c>
      <x:c r="E11" s="61" t="str">
        <x:v>ATT-004; ATT-006</x:v>
      </x:c>
      <x:c r="F11" s="61" t="str">
        <x:v>Particle count/morphology evidence complementary to soluble size-variant methods.</x:v>
      </x:c>
      <x:c r="G11" s="61" t="str">
        <x:v>Fictional DP / controlled handling</x:v>
      </x:c>
      <x:c r="H11" s="61" t="str">
        <x:v>FIC-QUAL-006; method-suitability and sample-handling review</x:v>
      </x:c>
      <x:c r="I11" s="61" t="str">
        <x:v>System controls and representative particle standards as justified</x:v>
      </x:c>
      <x:c r="J11" s="61" t="str">
        <x:v>Controlled background, sample handling, instrument, analysis, and reportability rules</x:v>
      </x:c>
      <x:c r="K11" s="61" t="str">
        <x:v>Particle identity and origin are not established from count or image alone.</x:v>
      </x:c>
      <x:c r="L11" s="61" t="str">
        <x:v>EVD-002; EVD-004; EVD-006</x:v>
      </x:c>
      <x:c r="M11" s="61" t="str">
        <x:v>Container, handling, instrument, software, threshold, product, or stability change</x:v>
      </x:c>
      <x:c r="N11" s="61" t="str">
        <x:v>Analytical development / Stability</x:v>
      </x:c>
      <x:c r="O11" s="61" t="str">
        <x:v>In review</x:v>
      </x:c>
      <x:c r="P11" s="67" t="str">
        <x:f>IF(A11="","",IF(OR(B11="",C11="",D11="",E11="",F11="",G11="",H11="",I11="",J11="",K11="",L11="",M11="",N11="",O11=""),"Incomplete",IF(OR(H11="Evidence required",I11="Evidence required",J11="Evidence required"),"Evidence required",IF(O11&lt;&gt;"Reviewed","Review required","Ready for qualified review"))))</x:f>
        <x:v>Review required</x:v>
      </x:c>
    </x:row>
    <x:row r="12">
      <x:c r="A12" s="61" t="str">
        <x:v>MTH-007</x:v>
      </x:c>
      <x:c r="B12" s="61" t="str">
        <x:v>Host-cell protein immunoassay plus coverage question</x:v>
      </x:c>
      <x:c r="C12" s="61" t="str">
        <x:v>Purity / impurity</x:v>
      </x:c>
      <x:c r="D12" s="61" t="str">
        <x:v>Release</x:v>
      </x:c>
      <x:c r="E12" s="61" t="str">
        <x:v>ATT-005</x:v>
      </x:c>
      <x:c r="F12" s="61" t="str">
        <x:v>Routine aggregate HCP response with separate assay-coverage assessment.</x:v>
      </x:c>
      <x:c r="G12" s="61" t="str">
        <x:v>Fictional DS</x:v>
      </x:c>
      <x:c r="H12" s="61" t="str">
        <x:v>FIC-VAL-007; coverage assessment under review</x:v>
      </x:c>
      <x:c r="I12" s="61" t="str">
        <x:v>Assay controls, reagent lot, and in-house reference relationship</x:v>
      </x:c>
      <x:c r="J12" s="61" t="str">
        <x:v>Controlled SST, dilution, spike recovery, and reportability rules</x:v>
      </x:c>
      <x:c r="K12" s="61" t="str">
        <x:v>Immunoreactivity and reagent coverage may not represent every process-change-related HCP.</x:v>
      </x:c>
      <x:c r="L12" s="61" t="str">
        <x:v>EVD-001; EVD-003; EVD-004; EVD-009</x:v>
      </x:c>
      <x:c r="M12" s="61" t="str">
        <x:v>Process, antibody reagent, kit lot, sample matrix, dilution, reference, or site change</x:v>
      </x:c>
      <x:c r="N12" s="61" t="str">
        <x:v>Analytical development / QC</x:v>
      </x:c>
      <x:c r="O12" s="61" t="str">
        <x:v>In review</x:v>
      </x:c>
      <x:c r="P12" s="67" t="str">
        <x:f>IF(A12="","",IF(OR(B12="",C12="",D12="",E12="",F12="",G12="",H12="",I12="",J12="",K12="",L12="",M12="",N12="",O12=""),"Incomplete",IF(OR(H12="Evidence required",I12="Evidence required",J12="Evidence required"),"Evidence required",IF(O12&lt;&gt;"Reviewed","Review required","Ready for qualified review"))))</x:f>
        <x:v>Review required</x:v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  <x:c r="P13" s="67" t="str">
        <x:f>IF(A13="","",IF(OR(B13="",C13="",D13="",E13="",F13="",G13="",H13="",I13="",J13="",K13="",L13="",M13="",N13="",O13=""),"Incomplete",IF(OR(H13="Evidence required",I13="Evidence required",J13="Evidence required"),"Evidence required",IF(O13&lt;&gt;"Reviewed","Review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1"/>
      <x:c r="P14" s="67" t="str">
        <x:f>IF(A14="","",IF(OR(B14="",C14="",D14="",E14="",F14="",G14="",H14="",I14="",J14="",K14="",L14="",M14="",N14="",O14=""),"Incomplete",IF(OR(H14="Evidence required",I14="Evidence required",J14="Evidence required"),"Evidence required",IF(O14&lt;&gt;"Reviewed","Review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  <x:c r="P15" s="67" t="str">
        <x:f>IF(A15="","",IF(OR(B15="",C15="",D15="",E15="",F15="",G15="",H15="",I15="",J15="",K15="",L15="",M15="",N15="",O15=""),"Incomplete",IF(OR(H15="Evidence required",I15="Evidence required",J15="Evidence required"),"Evidence required",IF(O15&lt;&gt;"Reviewed","Review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  <x:c r="P16" s="67" t="str">
        <x:f>IF(A16="","",IF(OR(B16="",C16="",D16="",E16="",F16="",G16="",H16="",I16="",J16="",K16="",L16="",M16="",N16="",O16=""),"Incomplete",IF(OR(H16="Evidence required",I16="Evidence required",J16="Evidence required"),"Evidence required",IF(O16&lt;&gt;"Reviewed","Review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  <x:c r="P17" s="67" t="str">
        <x:f>IF(A17="","",IF(OR(B17="",C17="",D17="",E17="",F17="",G17="",H17="",I17="",J17="",K17="",L17="",M17="",N17="",O17=""),"Incomplete",IF(OR(H17="Evidence required",I17="Evidence required",J17="Evidence required"),"Evidence required",IF(O17&lt;&gt;"Reviewed","Review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  <x:c r="P18" s="67" t="str">
        <x:f>IF(A18="","",IF(OR(B18="",C18="",D18="",E18="",F18="",G18="",H18="",I18="",J18="",K18="",L18="",M18="",N18="",O18=""),"Incomplete",IF(OR(H18="Evidence required",I18="Evidence required",J18="Evidence required"),"Evidence required",IF(O18&lt;&gt;"Reviewed","Review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  <x:c r="P19" s="67" t="str">
        <x:f>IF(A19="","",IF(OR(B19="",C19="",D19="",E19="",F19="",G19="",H19="",I19="",J19="",K19="",L19="",M19="",N19="",O19=""),"Incomplete",IF(OR(H19="Evidence required",I19="Evidence required",J19="Evidence required"),"Evidence required",IF(O19&lt;&gt;"Reviewed","Review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  <x:c r="P20" s="67" t="str">
        <x:f>IF(A20="","",IF(OR(B20="",C20="",D20="",E20="",F20="",G20="",H20="",I20="",J20="",K20="",L20="",M20="",N20="",O20=""),"Incomplete",IF(OR(H20="Evidence required",I20="Evidence required",J20="Evidence required"),"Evidence required",IF(O20&lt;&gt;"Reviewed","Review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  <x:c r="P21" s="67" t="str">
        <x:f>IF(A21="","",IF(OR(B21="",C21="",D21="",E21="",F21="",G21="",H21="",I21="",J21="",K21="",L21="",M21="",N21="",O21=""),"Incomplete",IF(OR(H21="Evidence required",I21="Evidence required",J21="Evidence required"),"Evidence required",IF(O21&lt;&gt;"Reviewed","Review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  <x:c r="P22" s="67" t="str">
        <x:f>IF(A22="","",IF(OR(B22="",C22="",D22="",E22="",F22="",G22="",H22="",I22="",J22="",K22="",L22="",M22="",N22="",O22=""),"Incomplete",IF(OR(H22="Evidence required",I22="Evidence required",J22="Evidence required"),"Evidence required",IF(O22&lt;&gt;"Reviewed","Review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  <x:c r="P23" s="67" t="str">
        <x:f>IF(A23="","",IF(OR(B23="",C23="",D23="",E23="",F23="",G23="",H23="",I23="",J23="",K23="",L23="",M23="",N23="",O23=""),"Incomplete",IF(OR(H23="Evidence required",I23="Evidence required",J23="Evidence required"),"Evidence required",IF(O23&lt;&gt;"Reviewed","Review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7" t="str">
        <x:f>IF(A24="","",IF(OR(B24="",C24="",D24="",E24="",F24="",G24="",H24="",I24="",J24="",K24="",L24="",M24="",N24="",O24=""),"Incomplete",IF(OR(H24="Evidence required",I24="Evidence required",J24="Evidence required"),"Evidence required",IF(O24&lt;&gt;"Reviewed","Review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  <x:c r="P25" s="67" t="str">
        <x:f>IF(A25="","",IF(OR(B25="",C25="",D25="",E25="",F25="",G25="",H25="",I25="",J25="",K25="",L25="",M25="",N25="",O25=""),"Incomplete",IF(OR(H25="Evidence required",I25="Evidence required",J25="Evidence required"),"Evidence required",IF(O25&lt;&gt;"Reviewed","Review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1"/>
      <x:c r="O26" s="61"/>
      <x:c r="P26" s="67" t="str">
        <x:f>IF(A26="","",IF(OR(B26="",C26="",D26="",E26="",F26="",G26="",H26="",I26="",J26="",K26="",L26="",M26="",N26="",O26=""),"Incomplete",IF(OR(H26="Evidence required",I26="Evidence required",J26="Evidence required"),"Evidence required",IF(O26&lt;&gt;"Reviewed","Review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1"/>
      <x:c r="O27" s="61"/>
      <x:c r="P27" s="67" t="str">
        <x:f>IF(A27="","",IF(OR(B27="",C27="",D27="",E27="",F27="",G27="",H27="",I27="",J27="",K27="",L27="",M27="",N27="",O27=""),"Incomplete",IF(OR(H27="Evidence required",I27="Evidence required",J27="Evidence required"),"Evidence required",IF(O27&lt;&gt;"Reviewed","Review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1"/>
      <x:c r="N28" s="61"/>
      <x:c r="O28" s="61"/>
      <x:c r="P28" s="67" t="str">
        <x:f>IF(A28="","",IF(OR(B28="",C28="",D28="",E28="",F28="",G28="",H28="",I28="",J28="",K28="",L28="",M28="",N28="",O28=""),"Incomplete",IF(OR(H28="Evidence required",I28="Evidence required",J28="Evidence required"),"Evidence required",IF(O28&lt;&gt;"Reviewed","Review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1"/>
      <x:c r="O29" s="61"/>
      <x:c r="P29" s="67" t="str">
        <x:f>IF(A29="","",IF(OR(B29="",C29="",D29="",E29="",F29="",G29="",H29="",I29="",J29="",K29="",L29="",M29="",N29="",O29=""),"Incomplete",IF(OR(H29="Evidence required",I29="Evidence required",J29="Evidence required"),"Evidence required",IF(O29&lt;&gt;"Reviewed","Review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1"/>
      <x:c r="O30" s="61"/>
      <x:c r="P30" s="67" t="str">
        <x:f>IF(A30="","",IF(OR(B30="",C30="",D30="",E30="",F30="",G30="",H30="",I30="",J30="",K30="",L30="",M30="",N30="",O30=""),"Incomplete",IF(OR(H30="Evidence required",I30="Evidence required",J30="Evidence required"),"Evidence required",IF(O30&lt;&gt;"Reviewed","Review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1"/>
      <x:c r="P31" s="67" t="str">
        <x:f>IF(A31="","",IF(OR(B31="",C31="",D31="",E31="",F31="",G31="",H31="",I31="",J31="",K31="",L31="",M31="",N31="",O31=""),"Incomplete",IF(OR(H31="Evidence required",I31="Evidence required",J31="Evidence required"),"Evidence required",IF(O31&lt;&gt;"Reviewed","Review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1"/>
      <x:c r="P32" s="67" t="str">
        <x:f>IF(A32="","",IF(OR(B32="",C32="",D32="",E32="",F32="",G32="",H32="",I32="",J32="",K32="",L32="",M32="",N32="",O32=""),"Incomplete",IF(OR(H32="Evidence required",I32="Evidence required",J32="Evidence required"),"Evidence required",IF(O32&lt;&gt;"Reviewed","Review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7" t="str">
        <x:f>IF(A33="","",IF(OR(B33="",C33="",D33="",E33="",F33="",G33="",H33="",I33="",J33="",K33="",L33="",M33="",N33="",O33=""),"Incomplete",IF(OR(H33="Evidence required",I33="Evidence required",J33="Evidence required"),"Evidence required",IF(O33&lt;&gt;"Reviewed","Review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1"/>
      <x:c r="O34" s="61"/>
      <x:c r="P34" s="67" t="str">
        <x:f>IF(A34="","",IF(OR(B34="",C34="",D34="",E34="",F34="",G34="",H34="",I34="",J34="",K34="",L34="",M34="",N34="",O34=""),"Incomplete",IF(OR(H34="Evidence required",I34="Evidence required",J34="Evidence required"),"Evidence required",IF(O34&lt;&gt;"Reviewed","Review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1"/>
      <x:c r="O35" s="61"/>
      <x:c r="P35" s="67" t="str">
        <x:f>IF(A35="","",IF(OR(B35="",C35="",D35="",E35="",F35="",G35="",H35="",I35="",J35="",K35="",L35="",M35="",N35="",O35=""),"Incomplete",IF(OR(H35="Evidence required",I35="Evidence required",J35="Evidence required"),"Evidence required",IF(O35&lt;&gt;"Reviewed","Review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1"/>
      <x:c r="O36" s="61"/>
      <x:c r="P36" s="67" t="str">
        <x:f>IF(A36="","",IF(OR(B36="",C36="",D36="",E36="",F36="",G36="",H36="",I36="",J36="",K36="",L36="",M36="",N36="",O36=""),"Incomplete",IF(OR(H36="Evidence required",I36="Evidence required",J36="Evidence required"),"Evidence required",IF(O36&lt;&gt;"Reviewed","Review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1"/>
      <x:c r="P37" s="67" t="str">
        <x:f>IF(A37="","",IF(OR(B37="",C37="",D37="",E37="",F37="",G37="",H37="",I37="",J37="",K37="",L37="",M37="",N37="",O37=""),"Incomplete",IF(OR(H37="Evidence required",I37="Evidence required",J37="Evidence required"),"Evidence required",IF(O37&lt;&gt;"Reviewed","Review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1"/>
      <x:c r="O38" s="61"/>
      <x:c r="P38" s="67" t="str">
        <x:f>IF(A38="","",IF(OR(B38="",C38="",D38="",E38="",F38="",G38="",H38="",I38="",J38="",K38="",L38="",M38="",N38="",O38=""),"Incomplete",IF(OR(H38="Evidence required",I38="Evidence required",J38="Evidence required"),"Evidence required",IF(O38&lt;&gt;"Reviewed","Review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61"/>
      <x:c r="P39" s="67" t="str">
        <x:f>IF(A39="","",IF(OR(B39="",C39="",D39="",E39="",F39="",G39="",H39="",I39="",J39="",K39="",L39="",M39="",N39="",O39=""),"Incomplete",IF(OR(H39="Evidence required",I39="Evidence required",J39="Evidence required"),"Evidence required",IF(O39&lt;&gt;"Reviewed","Review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7" t="str">
        <x:f>IF(A40="","",IF(OR(B40="",C40="",D40="",E40="",F40="",G40="",H40="",I40="",J40="",K40="",L40="",M40="",N40="",O40=""),"Incomplete",IF(OR(H40="Evidence required",I40="Evidence required",J40="Evidence required"),"Evidence required",IF(O40&lt;&gt;"Reviewed","Review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1"/>
      <x:c r="P41" s="67" t="str">
        <x:f>IF(A41="","",IF(OR(B41="",C41="",D41="",E41="",F41="",G41="",H41="",I41="",J41="",K41="",L41="",M41="",N41="",O41=""),"Incomplete",IF(OR(H41="Evidence required",I41="Evidence required",J41="Evidence required"),"Evidence required",IF(O41&lt;&gt;"Reviewed","Review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1"/>
      <x:c r="P42" s="67" t="str">
        <x:f>IF(A42="","",IF(OR(B42="",C42="",D42="",E42="",F42="",G42="",H42="",I42="",J42="",K42="",L42="",M42="",N42="",O42=""),"Incomplete",IF(OR(H42="Evidence required",I42="Evidence required",J42="Evidence required"),"Evidence required",IF(O42&lt;&gt;"Reviewed","Review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7" t="str">
        <x:f>IF(A43="","",IF(OR(B43="",C43="",D43="",E43="",F43="",G43="",H43="",I43="",J43="",K43="",L43="",M43="",N43="",O43=""),"Incomplete",IF(OR(H43="Evidence required",I43="Evidence required",J43="Evidence required"),"Evidence required",IF(O43&lt;&gt;"Reviewed","Review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1"/>
      <x:c r="P44" s="67" t="str">
        <x:f>IF(A44="","",IF(OR(B44="",C44="",D44="",E44="",F44="",G44="",H44="",I44="",J44="",K44="",L44="",M44="",N44="",O44=""),"Incomplete",IF(OR(H44="Evidence required",I44="Evidence required",J44="Evidence required"),"Evidence required",IF(O44&lt;&gt;"Reviewed","Review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1"/>
      <x:c r="P45" s="67" t="str">
        <x:f>IF(A45="","",IF(OR(B45="",C45="",D45="",E45="",F45="",G45="",H45="",I45="",J45="",K45="",L45="",M45="",N45="",O45=""),"Incomplete",IF(OR(H45="Evidence required",I45="Evidence required",J45="Evidence required"),"Evidence required",IF(O45&lt;&gt;"Reviewed","Review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1"/>
      <x:c r="P46" s="67" t="str">
        <x:f>IF(A46="","",IF(OR(B46="",C46="",D46="",E46="",F46="",G46="",H46="",I46="",J46="",K46="",L46="",M46="",N46="",O46=""),"Incomplete",IF(OR(H46="Evidence required",I46="Evidence required",J46="Evidence required"),"Evidence required",IF(O46&lt;&gt;"Reviewed","Review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1"/>
      <x:c r="P47" s="67" t="str">
        <x:f>IF(A47="","",IF(OR(B47="",C47="",D47="",E47="",F47="",G47="",H47="",I47="",J47="",K47="",L47="",M47="",N47="",O47=""),"Incomplete",IF(OR(H47="Evidence required",I47="Evidence required",J47="Evidence required"),"Evidence required",IF(O47&lt;&gt;"Reviewed","Review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1"/>
      <x:c r="P48" s="67" t="str">
        <x:f>IF(A48="","",IF(OR(B48="",C48="",D48="",E48="",F48="",G48="",H48="",I48="",J48="",K48="",L48="",M48="",N48="",O48=""),"Incomplete",IF(OR(H48="Evidence required",I48="Evidence required",J48="Evidence required"),"Evidence required",IF(O48&lt;&gt;"Reviewed","Review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1"/>
      <x:c r="P49" s="67" t="str">
        <x:f>IF(A49="","",IF(OR(B49="",C49="",D49="",E49="",F49="",G49="",H49="",I49="",J49="",K49="",L49="",M49="",N49="",O49=""),"Incomplete",IF(OR(H49="Evidence required",I49="Evidence required",J49="Evidence required"),"Evidence required",IF(O49&lt;&gt;"Reviewed","Review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1"/>
      <x:c r="P50" s="67" t="str">
        <x:f>IF(A50="","",IF(OR(B50="",C50="",D50="",E50="",F50="",G50="",H50="",I50="",J50="",K50="",L50="",M50="",N50="",O50=""),"Incomplete",IF(OR(H50="Evidence required",I50="Evidence required",J50="Evidence required"),"Evidence required",IF(O50&lt;&gt;"Reviewed","Review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7" t="str">
        <x:f>IF(A51="","",IF(OR(B51="",C51="",D51="",E51="",F51="",G51="",H51="",I51="",J51="",K51="",L51="",M51="",N51="",O51=""),"Incomplete",IF(OR(H51="Evidence required",I51="Evidence required",J51="Evidence required"),"Evidence required",IF(O51&lt;&gt;"Reviewed","Review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1"/>
      <x:c r="P52" s="67" t="str">
        <x:f>IF(A52="","",IF(OR(B52="",C52="",D52="",E52="",F52="",G52="",H52="",I52="",J52="",K52="",L52="",M52="",N52="",O52=""),"Incomplete",IF(OR(H52="Evidence required",I52="Evidence required",J52="Evidence required"),"Evidence required",IF(O52&lt;&gt;"Reviewed","Review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7" t="str">
        <x:f>IF(A53="","",IF(OR(B53="",C53="",D53="",E53="",F53="",G53="",H53="",I53="",J53="",K53="",L53="",M53="",N53="",O53=""),"Incomplete",IF(OR(H53="Evidence required",I53="Evidence required",J53="Evidence required"),"Evidence required",IF(O53&lt;&gt;"Reviewed","Review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7" t="str">
        <x:f>IF(A54="","",IF(OR(B54="",C54="",D54="",E54="",F54="",G54="",H54="",I54="",J54="",K54="",L54="",M54="",N54="",O54=""),"Incomplete",IF(OR(H54="Evidence required",I54="Evidence required",J54="Evidence required"),"Evidence required",IF(O54&lt;&gt;"Reviewed","Review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7" t="str">
        <x:f>IF(A55="","",IF(OR(B55="",C55="",D55="",E55="",F55="",G55="",H55="",I55="",J55="",K55="",L55="",M55="",N55="",O55=""),"Incomplete",IF(OR(H55="Evidence required",I55="Evidence required",J55="Evidence required"),"Evidence required",IF(O55&lt;&gt;"Reviewed","Review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1"/>
      <x:c r="P56" s="67" t="str">
        <x:f>IF(A56="","",IF(OR(B56="",C56="",D56="",E56="",F56="",G56="",H56="",I56="",J56="",K56="",L56="",M56="",N56="",O56=""),"Incomplete",IF(OR(H56="Evidence required",I56="Evidence required",J56="Evidence required"),"Evidence required",IF(O56&lt;&gt;"Reviewed","Review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7" t="str">
        <x:f>IF(A57="","",IF(OR(B57="",C57="",D57="",E57="",F57="",G57="",H57="",I57="",J57="",K57="",L57="",M57="",N57="",O57=""),"Incomplete",IF(OR(H57="Evidence required",I57="Evidence required",J57="Evidence required"),"Evidence required",IF(O57&lt;&gt;"Reviewed","Review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1"/>
      <x:c r="P58" s="67" t="str">
        <x:f>IF(A58="","",IF(OR(B58="",C58="",D58="",E58="",F58="",G58="",H58="",I58="",J58="",K58="",L58="",M58="",N58="",O58=""),"Incomplete",IF(OR(H58="Evidence required",I58="Evidence required",J58="Evidence required"),"Evidence required",IF(O58&lt;&gt;"Reviewed","Review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1"/>
      <x:c r="P59" s="67" t="str">
        <x:f>IF(A59="","",IF(OR(B59="",C59="",D59="",E59="",F59="",G59="",H59="",I59="",J59="",K59="",L59="",M59="",N59="",O59=""),"Incomplete",IF(OR(H59="Evidence required",I59="Evidence required",J59="Evidence required"),"Evidence required",IF(O59&lt;&gt;"Reviewed","Review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1"/>
      <x:c r="P60" s="67" t="str">
        <x:f>IF(A60="","",IF(OR(B60="",C60="",D60="",E60="",F60="",G60="",H60="",I60="",J60="",K60="",L60="",M60="",N60="",O60=""),"Incomplete",IF(OR(H60="Evidence required",I60="Evidence required",J60="Evidence required"),"Evidence required",IF(O60&lt;&gt;"Reviewed","Review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7" t="str">
        <x:f>IF(A61="","",IF(OR(B61="",C61="",D61="",E61="",F61="",G61="",H61="",I61="",J61="",K61="",L61="",M61="",N61="",O61=""),"Incomplete",IF(OR(H61="Evidence required",I61="Evidence required",J61="Evidence required"),"Evidence required",IF(O61&lt;&gt;"Reviewed","Review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1"/>
      <x:c r="P62" s="67" t="str">
        <x:f>IF(A62="","",IF(OR(B62="",C62="",D62="",E62="",F62="",G62="",H62="",I62="",J62="",K62="",L62="",M62="",N62="",O62=""),"Incomplete",IF(OR(H62="Evidence required",I62="Evidence required",J62="Evidence required"),"Evidence required",IF(O62&lt;&gt;"Reviewed","Review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7" t="str">
        <x:f>IF(A63="","",IF(OR(B63="",C63="",D63="",E63="",F63="",G63="",H63="",I63="",J63="",K63="",L63="",M63="",N63="",O63=""),"Incomplete",IF(OR(H63="Evidence required",I63="Evidence required",J63="Evidence required"),"Evidence required",IF(O63&lt;&gt;"Reviewed","Review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1"/>
      <x:c r="P64" s="67" t="str">
        <x:f>IF(A64="","",IF(OR(B64="",C64="",D64="",E64="",F64="",G64="",H64="",I64="",J64="",K64="",L64="",M64="",N64="",O64=""),"Incomplete",IF(OR(H64="Evidence required",I64="Evidence required",J64="Evidence required"),"Evidence required",IF(O64&lt;&gt;"Reviewed","Review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7" t="str">
        <x:f>IF(A65="","",IF(OR(B65="",C65="",D65="",E65="",F65="",G65="",H65="",I65="",J65="",K65="",L65="",M65="",N65="",O65=""),"Incomplete",IF(OR(H65="Evidence required",I65="Evidence required",J65="Evidence required"),"Evidence required",IF(O65&lt;&gt;"Reviewed","Review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1"/>
      <x:c r="P66" s="67" t="str">
        <x:f>IF(A66="","",IF(OR(B66="",C66="",D66="",E66="",F66="",G66="",H66="",I66="",J66="",K66="",L66="",M66="",N66="",O66=""),"Incomplete",IF(OR(H66="Evidence required",I66="Evidence required",J66="Evidence required"),"Evidence required",IF(O66&lt;&gt;"Reviewed","Review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7" t="str">
        <x:f>IF(A67="","",IF(OR(B67="",C67="",D67="",E67="",F67="",G67="",H67="",I67="",J67="",K67="",L67="",M67="",N67="",O67=""),"Incomplete",IF(OR(H67="Evidence required",I67="Evidence required",J67="Evidence required"),"Evidence required",IF(O67&lt;&gt;"Reviewed","Review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1"/>
      <x:c r="P68" s="67" t="str">
        <x:f>IF(A68="","",IF(OR(B68="",C68="",D68="",E68="",F68="",G68="",H68="",I68="",J68="",K68="",L68="",M68="",N68="",O68=""),"Incomplete",IF(OR(H68="Evidence required",I68="Evidence required",J68="Evidence required"),"Evidence required",IF(O68&lt;&gt;"Reviewed","Review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7" t="str">
        <x:f>IF(A69="","",IF(OR(B69="",C69="",D69="",E69="",F69="",G69="",H69="",I69="",J69="",K69="",L69="",M69="",N69="",O69=""),"Incomplete",IF(OR(H69="Evidence required",I69="Evidence required",J69="Evidence required"),"Evidence required",IF(O69&lt;&gt;"Reviewed","Review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1"/>
      <x:c r="P70" s="67" t="str">
        <x:f>IF(A70="","",IF(OR(B70="",C70="",D70="",E70="",F70="",G70="",H70="",I70="",J70="",K70="",L70="",M70="",N70="",O70=""),"Incomplete",IF(OR(H70="Evidence required",I70="Evidence required",J70="Evidence required"),"Evidence required",IF(O70&lt;&gt;"Reviewed","Review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7" t="str">
        <x:f>IF(A71="","",IF(OR(B71="",C71="",D71="",E71="",F71="",G71="",H71="",I71="",J71="",K71="",L71="",M71="",N71="",O71=""),"Incomplete",IF(OR(H71="Evidence required",I71="Evidence required",J71="Evidence required"),"Evidence required",IF(O71&lt;&gt;"Reviewed","Review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1"/>
      <x:c r="P72" s="67" t="str">
        <x:f>IF(A72="","",IF(OR(B72="",C72="",D72="",E72="",F72="",G72="",H72="",I72="",J72="",K72="",L72="",M72="",N72="",O72=""),"Incomplete",IF(OR(H72="Evidence required",I72="Evidence required",J72="Evidence required"),"Evidence required",IF(O72&lt;&gt;"Reviewed","Review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7" t="str">
        <x:f>IF(A73="","",IF(OR(B73="",C73="",D73="",E73="",F73="",G73="",H73="",I73="",J73="",K73="",L73="",M73="",N73="",O73=""),"Incomplete",IF(OR(H73="Evidence required",I73="Evidence required",J73="Evidence required"),"Evidence required",IF(O73&lt;&gt;"Reviewed","Review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1"/>
      <x:c r="P74" s="67" t="str">
        <x:f>IF(A74="","",IF(OR(B74="",C74="",D74="",E74="",F74="",G74="",H74="",I74="",J74="",K74="",L74="",M74="",N74="",O74=""),"Incomplete",IF(OR(H74="Evidence required",I74="Evidence required",J74="Evidence required"),"Evidence required",IF(O74&lt;&gt;"Reviewed","Review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7" t="str">
        <x:f>IF(A75="","",IF(OR(B75="",C75="",D75="",E75="",F75="",G75="",H75="",I75="",J75="",K75="",L75="",M75="",N75="",O75=""),"Incomplete",IF(OR(H75="Evidence required",I75="Evidence required",J75="Evidence required"),"Evidence required",IF(O75&lt;&gt;"Reviewed","Review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1"/>
      <x:c r="P76" s="67" t="str">
        <x:f>IF(A76="","",IF(OR(B76="",C76="",D76="",E76="",F76="",G76="",H76="",I76="",J76="",K76="",L76="",M76="",N76="",O76=""),"Incomplete",IF(OR(H76="Evidence required",I76="Evidence required",J76="Evidence required"),"Evidence required",IF(O76&lt;&gt;"Reviewed","Review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7" t="str">
        <x:f>IF(A77="","",IF(OR(B77="",C77="",D77="",E77="",F77="",G77="",H77="",I77="",J77="",K77="",L77="",M77="",N77="",O77=""),"Incomplete",IF(OR(H77="Evidence required",I77="Evidence required",J77="Evidence required"),"Evidence required",IF(O77&lt;&gt;"Reviewed","Review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1"/>
      <x:c r="P78" s="67" t="str">
        <x:f>IF(A78="","",IF(OR(B78="",C78="",D78="",E78="",F78="",G78="",H78="",I78="",J78="",K78="",L78="",M78="",N78="",O78=""),"Incomplete",IF(OR(H78="Evidence required",I78="Evidence required",J78="Evidence required"),"Evidence required",IF(O78&lt;&gt;"Reviewed","Review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1"/>
      <x:c r="P79" s="67" t="str">
        <x:f>IF(A79="","",IF(OR(B79="",C79="",D79="",E79="",F79="",G79="",H79="",I79="",J79="",K79="",L79="",M79="",N79="",O79=""),"Incomplete",IF(OR(H79="Evidence required",I79="Evidence required",J79="Evidence required"),"Evidence required",IF(O79&lt;&gt;"Reviewed","Review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7" t="str">
        <x:f>IF(A80="","",IF(OR(B80="",C80="",D80="",E80="",F80="",G80="",H80="",I80="",J80="",K80="",L80="",M80="",N80="",O80=""),"Incomplete",IF(OR(H80="Evidence required",I80="Evidence required",J80="Evidence required"),"Evidence required",IF(O80&lt;&gt;"Reviewed","Review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1"/>
      <x:c r="P81" s="67" t="str">
        <x:f>IF(A81="","",IF(OR(B81="",C81="",D81="",E81="",F81="",G81="",H81="",I81="",J81="",K81="",L81="",M81="",N81="",O81=""),"Incomplete",IF(OR(H81="Evidence required",I81="Evidence required",J81="Evidence required"),"Evidence required",IF(O81&lt;&gt;"Reviewed","Review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7" t="str">
        <x:f>IF(A82="","",IF(OR(B82="",C82="",D82="",E82="",F82="",G82="",H82="",I82="",J82="",K82="",L82="",M82="",N82="",O82=""),"Incomplete",IF(OR(H82="Evidence required",I82="Evidence required",J82="Evidence required"),"Evidence required",IF(O82&lt;&gt;"Reviewed","Review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1"/>
      <x:c r="P83" s="67" t="str">
        <x:f>IF(A83="","",IF(OR(B83="",C83="",D83="",E83="",F83="",G83="",H83="",I83="",J83="",K83="",L83="",M83="",N83="",O83=""),"Incomplete",IF(OR(H83="Evidence required",I83="Evidence required",J83="Evidence required"),"Evidence required",IF(O83&lt;&gt;"Reviewed","Review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7" t="str">
        <x:f>IF(A84="","",IF(OR(B84="",C84="",D84="",E84="",F84="",G84="",H84="",I84="",J84="",K84="",L84="",M84="",N84="",O84=""),"Incomplete",IF(OR(H84="Evidence required",I84="Evidence required",J84="Evidence required"),"Evidence required",IF(O84&lt;&gt;"Reviewed","Review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1"/>
      <x:c r="P85" s="67" t="str">
        <x:f>IF(A85="","",IF(OR(B85="",C85="",D85="",E85="",F85="",G85="",H85="",I85="",J85="",K85="",L85="",M85="",N85="",O85=""),"Incomplete",IF(OR(H85="Evidence required",I85="Evidence required",J85="Evidence required"),"Evidence required",IF(O85&lt;&gt;"Reviewed","Review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7" t="str">
        <x:f>IF(A86="","",IF(OR(B86="",C86="",D86="",E86="",F86="",G86="",H86="",I86="",J86="",K86="",L86="",M86="",N86="",O86=""),"Incomplete",IF(OR(H86="Evidence required",I86="Evidence required",J86="Evidence required"),"Evidence required",IF(O86&lt;&gt;"Reviewed","Review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1"/>
      <x:c r="P87" s="67" t="str">
        <x:f>IF(A87="","",IF(OR(B87="",C87="",D87="",E87="",F87="",G87="",H87="",I87="",J87="",K87="",L87="",M87="",N87="",O87=""),"Incomplete",IF(OR(H87="Evidence required",I87="Evidence required",J87="Evidence required"),"Evidence required",IF(O87&lt;&gt;"Reviewed","Review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7" t="str">
        <x:f>IF(A88="","",IF(OR(B88="",C88="",D88="",E88="",F88="",G88="",H88="",I88="",J88="",K88="",L88="",M88="",N88="",O88=""),"Incomplete",IF(OR(H88="Evidence required",I88="Evidence required",J88="Evidence required"),"Evidence required",IF(O88&lt;&gt;"Reviewed","Review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1"/>
      <x:c r="P89" s="67" t="str">
        <x:f>IF(A89="","",IF(OR(B89="",C89="",D89="",E89="",F89="",G89="",H89="",I89="",J89="",K89="",L89="",M89="",N89="",O89=""),"Incomplete",IF(OR(H89="Evidence required",I89="Evidence required",J89="Evidence required"),"Evidence required",IF(O89&lt;&gt;"Reviewed","Review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7" t="str">
        <x:f>IF(A90="","",IF(OR(B90="",C90="",D90="",E90="",F90="",G90="",H90="",I90="",J90="",K90="",L90="",M90="",N90="",O90=""),"Incomplete",IF(OR(H90="Evidence required",I90="Evidence required",J90="Evidence required"),"Evidence required",IF(O90&lt;&gt;"Reviewed","Review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1"/>
      <x:c r="P91" s="67" t="str">
        <x:f>IF(A91="","",IF(OR(B91="",C91="",D91="",E91="",F91="",G91="",H91="",I91="",J91="",K91="",L91="",M91="",N91="",O91=""),"Incomplete",IF(OR(H91="Evidence required",I91="Evidence required",J91="Evidence required"),"Evidence required",IF(O91&lt;&gt;"Reviewed","Review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7" t="str">
        <x:f>IF(A92="","",IF(OR(B92="",C92="",D92="",E92="",F92="",G92="",H92="",I92="",J92="",K92="",L92="",M92="",N92="",O92=""),"Incomplete",IF(OR(H92="Evidence required",I92="Evidence required",J92="Evidence required"),"Evidence required",IF(O92&lt;&gt;"Reviewed","Review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1"/>
      <x:c r="P93" s="67" t="str">
        <x:f>IF(A93="","",IF(OR(B93="",C93="",D93="",E93="",F93="",G93="",H93="",I93="",J93="",K93="",L93="",M93="",N93="",O93=""),"Incomplete",IF(OR(H93="Evidence required",I93="Evidence required",J93="Evidence required"),"Evidence required",IF(O93&lt;&gt;"Reviewed","Review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7" t="str">
        <x:f>IF(A94="","",IF(OR(B94="",C94="",D94="",E94="",F94="",G94="",H94="",I94="",J94="",K94="",L94="",M94="",N94="",O94=""),"Incomplete",IF(OR(H94="Evidence required",I94="Evidence required",J94="Evidence required"),"Evidence required",IF(O94&lt;&gt;"Reviewed","Review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1"/>
      <x:c r="P95" s="67" t="str">
        <x:f>IF(A95="","",IF(OR(B95="",C95="",D95="",E95="",F95="",G95="",H95="",I95="",J95="",K95="",L95="",M95="",N95="",O95=""),"Incomplete",IF(OR(H95="Evidence required",I95="Evidence required",J95="Evidence required"),"Evidence required",IF(O95&lt;&gt;"Reviewed","Review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1"/>
      <x:c r="P96" s="67" t="str">
        <x:f>IF(A96="","",IF(OR(B96="",C96="",D96="",E96="",F96="",G96="",H96="",I96="",J96="",K96="",L96="",M96="",N96="",O96=""),"Incomplete",IF(OR(H96="Evidence required",I96="Evidence required",J96="Evidence required"),"Evidence required",IF(O96&lt;&gt;"Reviewed","Review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1"/>
      <x:c r="P97" s="67" t="str">
        <x:f>IF(A97="","",IF(OR(B97="",C97="",D97="",E97="",F97="",G97="",H97="",I97="",J97="",K97="",L97="",M97="",N97="",O97=""),"Incomplete",IF(OR(H97="Evidence required",I97="Evidence required",J97="Evidence required"),"Evidence required",IF(O97&lt;&gt;"Reviewed","Review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7" t="str">
        <x:f>IF(A98="","",IF(OR(B98="",C98="",D98="",E98="",F98="",G98="",H98="",I98="",J98="",K98="",L98="",M98="",N98="",O98=""),"Incomplete",IF(OR(H98="Evidence required",I98="Evidence required",J98="Evidence required"),"Evidence required",IF(O98&lt;&gt;"Reviewed","Review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1"/>
      <x:c r="P99" s="67" t="str">
        <x:f>IF(A99="","",IF(OR(B99="",C99="",D99="",E99="",F99="",G99="",H99="",I99="",J99="",K99="",L99="",M99="",N99="",O99=""),"Incomplete",IF(OR(H99="Evidence required",I99="Evidence required",J99="Evidence required"),"Evidence required",IF(O99&lt;&gt;"Reviewed","Review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7" t="str">
        <x:f>IF(A100="","",IF(OR(B100="",C100="",D100="",E100="",F100="",G100="",H100="",I100="",J100="",K100="",L100="",M100="",N100="",O100=""),"Incomplete",IF(OR(H100="Evidence required",I100="Evidence required",J100="Evidence required"),"Evidence required",IF(O100&lt;&gt;"Reviewed","Review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1"/>
      <x:c r="P101" s="67" t="str">
        <x:f>IF(A101="","",IF(OR(B101="",C101="",D101="",E101="",F101="",G101="",H101="",I101="",J101="",K101="",L101="",M101="",N101="",O101=""),"Incomplete",IF(OR(H101="Evidence required",I101="Evidence required",J101="Evidence required"),"Evidence required",IF(O101&lt;&gt;"Reviewed","Review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7" t="str">
        <x:f>IF(A102="","",IF(OR(B102="",C102="",D102="",E102="",F102="",G102="",H102="",I102="",J102="",K102="",L102="",M102="",N102="",O102=""),"Incomplete",IF(OR(H102="Evidence required",I102="Evidence required",J102="Evidence required"),"Evidence required",IF(O102&lt;&gt;"Reviewed","Review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1"/>
      <x:c r="P103" s="67" t="str">
        <x:f>IF(A103="","",IF(OR(B103="",C103="",D103="",E103="",F103="",G103="",H103="",I103="",J103="",K103="",L103="",M103="",N103="",O103=""),"Incomplete",IF(OR(H103="Evidence required",I103="Evidence required",J103="Evidence required"),"Evidence required",IF(O103&lt;&gt;"Reviewed","Review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7" t="str">
        <x:f>IF(A104="","",IF(OR(B104="",C104="",D104="",E104="",F104="",G104="",H104="",I104="",J104="",K104="",L104="",M104="",N104="",O104=""),"Incomplete",IF(OR(H104="Evidence required",I104="Evidence required",J104="Evidence required"),"Evidence required",IF(O104&lt;&gt;"Reviewed","Review required","Ready for qualified review"))))</x:f>
      </x:c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8" t="str">
        <x:f>IF(A105="","",IF(OR(B105="",C105="",D105="",E105="",F105="",G105="",H105="",I105="",J105="",K105="",L105="",M105="",N105="",O105=""),"Incomplete",IF(OR(H105="Evidence required",I105="Evidence required",J105="Evidence required"),"Evidence required",IF(O105&lt;&gt;"Reviewed","Review required","Ready for qualified review"))))</x:f>
      </x:c>
    </x:row>
  </x:sheetData>
  <x:mergeCells>
    <x:mergeCell ref="A1:P1"/>
    <x:mergeCell ref="A2:P2"/>
  </x:mergeCells>
  <x:conditionalFormatting sqref="P6:P105">
    <x:cfRule type="containsText" dxfId="21" priority="1" operator="containsText" text="Incomplete"/>
    <x:cfRule type="containsText" dxfId="22" priority="2" operator="containsText" text="Evidence required"/>
    <x:cfRule type="containsText" dxfId="23" priority="3" operator="containsText" text="Review required"/>
    <x:cfRule type="containsText" dxfId="24" priority="4" operator="containsText" text="Open"/>
    <x:cfRule type="containsText" dxfId="25" priority="5" operator="containsText" text="Overdue"/>
    <x:cfRule type="containsText" dxfId="26" priority="6" operator="containsText" text="Ready"/>
    <x:cfRule type="containsText" dxfId="27" priority="7" operator="containsText" text="Closed"/>
  </x:conditionalFormatting>
  <x:dataValidations count="3">
    <x:dataValidation type="list" sqref="C6:C105">
      <x:formula1>"Identity,Purity / impurity,Potency / activity,Quantity,Structure / characterization,Stability indication,Process monitoring,Comparability,Investigation,Reference qualification"</x:formula1>
    </x:dataValidation>
    <x:dataValidation type="list" sqref="D6:D105">
      <x:formula1>"Characterization,Development,Process characterization,IPC / monitoring,Release,Stability,Comparability,Investigation,Reference qualification,Other"</x:formula1>
    </x:dataValidation>
    <x:dataValidation type="list" sqref="O6:O105">
      <x:formula1>"Not started,Draft,In review,Reviewed"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20" hidden="0" customWidth="1"/>
    <x:col min="5" max="5" width="25" hidden="0" customWidth="1"/>
    <x:col min="6" max="6" width="31" hidden="0" customWidth="1"/>
    <x:col min="7" max="7" width="42" hidden="0" customWidth="1"/>
    <x:col min="8" max="8" width="40" hidden="0" customWidth="1"/>
    <x:col min="9" max="9" width="19" hidden="0" customWidth="1"/>
    <x:col min="10" max="10" width="31" hidden="0" customWidth="1"/>
    <x:col min="11" max="11" width="38" hidden="0" customWidth="1"/>
    <x:col min="12" max="12" width="17" hidden="0" customWidth="1"/>
    <x:col min="13" max="13" width="22" hidden="0" customWidth="1"/>
  </x:cols>
  <x:sheetData>
    <x:row r="1" ht="28" customHeight="1">
      <x:c r="A1" s="3" t="str">
        <x:v>Specification Basis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Document why a test belongs, does not belong, or may change within the total control strategy — without inventing criteria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5" ht="38" customHeight="1">
      <x:c r="A5" s="47" t="str">
        <x:v>Basis ID</x:v>
      </x:c>
      <x:c r="B5" s="48" t="str">
        <x:v>Material / stage</x:v>
      </x:c>
      <x:c r="C5" s="48" t="str">
        <x:v>Attribute IDs</x:v>
      </x:c>
      <x:c r="D5" s="48" t="str">
        <x:v>Test / method ID</x:v>
      </x:c>
      <x:c r="E5" s="48" t="str">
        <x:v>Current / proposed role</x:v>
      </x:c>
      <x:c r="F5" s="48" t="str">
        <x:v>Controlled criterion reference</x:v>
      </x:c>
      <x:c r="G5" s="48" t="str">
        <x:v>Inclusion / omission / change rationale</x:v>
      </x:c>
      <x:c r="H5" s="48" t="str">
        <x:v>Other control-strategy evidence</x:v>
      </x:c>
      <x:c r="I5" s="48" t="str">
        <x:v>Evidence IDs</x:v>
      </x:c>
      <x:c r="J5" s="48" t="str">
        <x:v>Regional / filing reference</x:v>
      </x:c>
      <x:c r="K5" s="48" t="str">
        <x:v>Residual risk / open question</x:v>
      </x:c>
      <x:c r="L5" s="48" t="str">
        <x:v>Review status</x:v>
      </x:c>
      <x:c r="M5" s="49" t="str">
        <x:v>Attention</x:v>
      </x:c>
    </x:row>
    <x:row r="6">
      <x:c r="A6" s="60" t="str">
        <x:v>BAS-001</x:v>
      </x:c>
      <x:c r="B6" s="60" t="str">
        <x:v>Fictional drug substance release</x:v>
      </x:c>
      <x:c r="C6" s="60" t="str">
        <x:v>ATT-001</x:v>
      </x:c>
      <x:c r="D6" s="60" t="str">
        <x:v>MTH-001</x:v>
      </x:c>
      <x:c r="E6" s="60" t="str">
        <x:v>Current identity test retained</x:v>
      </x:c>
      <x:c r="F6" s="60" t="str">
        <x:v>Approved fictional specification reference FIC-SPEC-DS-01</x:v>
      </x:c>
      <x:c r="G6" s="60" t="str">
        <x:v>Confirms identity within the current registered control strategy; not full structural characterization.</x:v>
      </x:c>
      <x:c r="H6" s="60" t="str">
        <x:v>Process controls plus characterization and comparability panel</x:v>
      </x:c>
      <x:c r="I6" s="60" t="str">
        <x:v>EVD-001; EVD-004; EVD-005</x:v>
      </x:c>
      <x:c r="J6" s="60" t="str">
        <x:v>Controlled fictional filing reference</x:v>
      </x:c>
      <x:c r="K6" s="60" t="str">
        <x:v>Post-change structural comparison remains outside routine release coverage.</x:v>
      </x:c>
      <x:c r="L6" s="60" t="str">
        <x:v>In review</x:v>
      </x:c>
      <x:c r="M6" s="66" t="str">
        <x:f>IF(A6="","",IF(OR(B6="",C6="",D6="",E6="",F6="",G6="",H6="",I6="",J6="",K6="",L6=""),"Incomplete",IF(OR(F6="Evidence required",J6="Evidence required"),"Evidence required",IF(L6&lt;&gt;"Reviewed","Review required","Ready for qualified review"))))</x:f>
        <x:v>Review required</x:v>
      </x:c>
    </x:row>
    <x:row r="7">
      <x:c r="A7" s="61" t="str">
        <x:v>BAS-002</x:v>
      </x:c>
      <x:c r="B7" s="61" t="str">
        <x:v>Fictional drug product release</x:v>
      </x:c>
      <x:c r="C7" s="61" t="str">
        <x:v>ATT-003</x:v>
      </x:c>
      <x:c r="D7" s="61" t="str">
        <x:v>MTH-005</x:v>
      </x:c>
      <x:c r="E7" s="61" t="str">
        <x:v>Current potency test under reference/site lifecycle review</x:v>
      </x:c>
      <x:c r="F7" s="61" t="str">
        <x:v>Approved fictional specification reference FIC-SPEC-DP-02</x:v>
      </x:c>
      <x:c r="G7" s="61" t="str">
        <x:v>Mechanism-relevant activity is controlled at release, but reportability depends on valid reference, cells, model, and transfer evidence.</x:v>
      </x:c>
      <x:c r="H7" s="61" t="str">
        <x:v>Process controls, characterization, stability, and assay monitoring</x:v>
      </x:c>
      <x:c r="I7" s="61" t="str">
        <x:v>EVD-001; EVD-002; EVD-007; EVD-008</x:v>
      </x:c>
      <x:c r="J7" s="61" t="str">
        <x:v>Controlled fictional filing reference</x:v>
      </x:c>
      <x:c r="K7" s="61" t="str">
        <x:v>Reference transition and receiving-site performance could shift the reported result independently of product.</x:v>
      </x:c>
      <x:c r="L7" s="61" t="str">
        <x:v>In review</x:v>
      </x:c>
      <x:c r="M7" s="67" t="str">
        <x:f>IF(A7="","",IF(OR(B7="",C7="",D7="",E7="",F7="",G7="",H7="",I7="",J7="",K7="",L7=""),"Incomplete",IF(OR(F7="Evidence required",J7="Evidence required"),"Evidence required",IF(L7&lt;&gt;"Reviewed","Review required","Ready for qualified review"))))</x:f>
        <x:v>Review required</x:v>
      </x:c>
    </x:row>
    <x:row r="8">
      <x:c r="A8" s="61" t="str">
        <x:v>BAS-003</x:v>
      </x:c>
      <x:c r="B8" s="61" t="str">
        <x:v>Fictional drug substance release and process control</x:v>
      </x:c>
      <x:c r="C8" s="61" t="str">
        <x:v>ATT-005</x:v>
      </x:c>
      <x:c r="D8" s="61" t="str">
        <x:v>MTH-007</x:v>
      </x:c>
      <x:c r="E8" s="61" t="str">
        <x:v>Current HCP control; change-impact review open</x:v>
      </x:c>
      <x:c r="F8" s="61" t="str">
        <x:v>Approved fictional specification reference FIC-SPEC-DS-03</x:v>
      </x:c>
      <x:c r="G8" s="61" t="str">
        <x:v>Routine HCP response contributes to process-related impurity control, with separate coverage and process evidence.</x:v>
      </x:c>
      <x:c r="H8" s="61" t="str">
        <x:v>Purification process controls, process characterization, monitoring, and orthogonal coverage assessment</x:v>
      </x:c>
      <x:c r="I8" s="61" t="str">
        <x:v>EVD-001; EVD-004; EVD-009</x:v>
      </x:c>
      <x:c r="J8" s="61" t="str">
        <x:v>Controlled fictional filing reference</x:v>
      </x:c>
      <x:c r="K8" s="61" t="str">
        <x:v>Changed impurity profile may not be fully represented by the routine immunoassay.</x:v>
      </x:c>
      <x:c r="L8" s="61" t="str">
        <x:v>In review</x:v>
      </x:c>
      <x:c r="M8" s="67" t="str">
        <x:f>IF(A8="","",IF(OR(B8="",C8="",D8="",E8="",F8="",G8="",H8="",I8="",J8="",K8="",L8=""),"Incomplete",IF(OR(F8="Evidence required",J8="Evidence required"),"Evidence required",IF(L8&lt;&gt;"Reviewed","Review required","Ready for qualified review"))))</x:f>
        <x:v>Review required</x:v>
      </x:c>
    </x:row>
    <x:row r="9">
      <x:c r="A9" s="61" t="str">
        <x:v>BAS-004</x:v>
      </x:c>
      <x:c r="B9" s="61" t="str">
        <x:v>Fictional characterization / comparability</x:v>
      </x:c>
      <x:c r="C9" s="61" t="str">
        <x:v>ATT-002</x:v>
      </x:c>
      <x:c r="D9" s="61" t="str">
        <x:v>MTH-003</x:v>
      </x:c>
      <x:c r="E9" s="61" t="str">
        <x:v>Characterization/comparability use; no automatic new release criterion</x:v>
      </x:c>
      <x:c r="F9" s="61" t="str">
        <x:v>Controlled comparability decision reference pending</x:v>
      </x:c>
      <x:c r="G9" s="61" t="str">
        <x:v>The observed charge shift requires identity, relevance, process, functional, and lifecycle evidence before any specification decision.</x:v>
      </x:c>
      <x:c r="H9" s="61" t="str">
        <x:v>Process controls, orthogonal structural and functional methods, stability, and change governance</x:v>
      </x:c>
      <x:c r="I9" s="61" t="str">
        <x:v>EVD-001; EVD-004; EVD-005; EVD-006; EVD-009</x:v>
      </x:c>
      <x:c r="J9" s="61" t="str">
        <x:v>Regulatory CMC and quality assessment pending</x:v>
      </x:c>
      <x:c r="K9" s="61" t="str">
        <x:v>Adding, changing, or omitting a release test or criterion remains unresolved.</x:v>
      </x:c>
      <x:c r="L9" s="61" t="str">
        <x:v>In review</x:v>
      </x:c>
      <x:c r="M9" s="67" t="str">
        <x:f>IF(A9="","",IF(OR(B9="",C9="",D9="",E9="",F9="",G9="",H9="",I9="",J9="",K9="",L9=""),"Incomplete",IF(OR(F9="Evidence required",J9="Evidence required"),"Evidence required",IF(L9&lt;&gt;"Reviewed","Review required","Ready for qualified review"))))</x:f>
        <x:v>Review required</x:v>
      </x:c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67" t="str">
        <x:f>IF(A10="","",IF(OR(B10="",C10="",D10="",E10="",F10="",G10="",H10="",I10="",J10="",K10="",L10=""),"Incomplete",IF(OR(F10="Evidence required",J10="Evidence required"),"Evidence required",IF(L10&lt;&gt;"Reviewed","Review required","Ready for qualified review"))))</x:f>
      </x:c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7" t="str">
        <x:f>IF(A11="","",IF(OR(B11="",C11="",D11="",E11="",F11="",G11="",H11="",I11="",J11="",K11="",L11=""),"Incomplete",IF(OR(F11="Evidence required",J11="Evidence required"),"Evidence required",IF(L11&lt;&gt;"Reviewed","Review required","Ready for qualified review"))))</x:f>
      </x:c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7" t="str">
        <x:f>IF(A12="","",IF(OR(B12="",C12="",D12="",E12="",F12="",G12="",H12="",I12="",J12="",K12="",L12=""),"Incomplete",IF(OR(F12="Evidence required",J12="Evidence required"),"Evidence required",IF(L12&lt;&gt;"Reviewed","Review required","Ready for qualified review"))))</x:f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7" t="str">
        <x:f>IF(A13="","",IF(OR(B13="",C13="",D13="",E13="",F13="",G13="",H13="",I13="",J13="",K13="",L13=""),"Incomplete",IF(OR(F13="Evidence required",J13="Evidence required"),"Evidence required",IF(L13&lt;&gt;"Reviewed","Review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7" t="str">
        <x:f>IF(A14="","",IF(OR(B14="",C14="",D14="",E14="",F14="",G14="",H14="",I14="",J14="",K14="",L14=""),"Incomplete",IF(OR(F14="Evidence required",J14="Evidence required"),"Evidence required",IF(L14&lt;&gt;"Reviewed","Review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7" t="str">
        <x:f>IF(A15="","",IF(OR(B15="",C15="",D15="",E15="",F15="",G15="",H15="",I15="",J15="",K15="",L15=""),"Incomplete",IF(OR(F15="Evidence required",J15="Evidence required"),"Evidence required",IF(L15&lt;&gt;"Reviewed","Review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7" t="str">
        <x:f>IF(A16="","",IF(OR(B16="",C16="",D16="",E16="",F16="",G16="",H16="",I16="",J16="",K16="",L16=""),"Incomplete",IF(OR(F16="Evidence required",J16="Evidence required"),"Evidence required",IF(L16&lt;&gt;"Reviewed","Review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7" t="str">
        <x:f>IF(A17="","",IF(OR(B17="",C17="",D17="",E17="",F17="",G17="",H17="",I17="",J17="",K17="",L17=""),"Incomplete",IF(OR(F17="Evidence required",J17="Evidence required"),"Evidence required",IF(L17&lt;&gt;"Reviewed","Review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7" t="str">
        <x:f>IF(A18="","",IF(OR(B18="",C18="",D18="",E18="",F18="",G18="",H18="",I18="",J18="",K18="",L18=""),"Incomplete",IF(OR(F18="Evidence required",J18="Evidence required"),"Evidence required",IF(L18&lt;&gt;"Reviewed","Review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7" t="str">
        <x:f>IF(A19="","",IF(OR(B19="",C19="",D19="",E19="",F19="",G19="",H19="",I19="",J19="",K19="",L19=""),"Incomplete",IF(OR(F19="Evidence required",J19="Evidence required"),"Evidence required",IF(L19&lt;&gt;"Reviewed","Review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7" t="str">
        <x:f>IF(A20="","",IF(OR(B20="",C20="",D20="",E20="",F20="",G20="",H20="",I20="",J20="",K20="",L20=""),"Incomplete",IF(OR(F20="Evidence required",J20="Evidence required"),"Evidence required",IF(L20&lt;&gt;"Reviewed","Review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7" t="str">
        <x:f>IF(A21="","",IF(OR(B21="",C21="",D21="",E21="",F21="",G21="",H21="",I21="",J21="",K21="",L21=""),"Incomplete",IF(OR(F21="Evidence required",J21="Evidence required"),"Evidence required",IF(L21&lt;&gt;"Reviewed","Review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7" t="str">
        <x:f>IF(A22="","",IF(OR(B22="",C22="",D22="",E22="",F22="",G22="",H22="",I22="",J22="",K22="",L22=""),"Incomplete",IF(OR(F22="Evidence required",J22="Evidence required"),"Evidence required",IF(L22&lt;&gt;"Reviewed","Review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7" t="str">
        <x:f>IF(A23="","",IF(OR(B23="",C23="",D23="",E23="",F23="",G23="",H23="",I23="",J23="",K23="",L23=""),"Incomplete",IF(OR(F23="Evidence required",J23="Evidence required"),"Evidence required",IF(L23&lt;&gt;"Reviewed","Review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7" t="str">
        <x:f>IF(A24="","",IF(OR(B24="",C24="",D24="",E24="",F24="",G24="",H24="",I24="",J24="",K24="",L24=""),"Incomplete",IF(OR(F24="Evidence required",J24="Evidence required"),"Evidence required",IF(L24&lt;&gt;"Reviewed","Review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7" t="str">
        <x:f>IF(A25="","",IF(OR(B25="",C25="",D25="",E25="",F25="",G25="",H25="",I25="",J25="",K25="",L25=""),"Incomplete",IF(OR(F25="Evidence required",J25="Evidence required"),"Evidence required",IF(L25&lt;&gt;"Reviewed","Review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7" t="str">
        <x:f>IF(A26="","",IF(OR(B26="",C26="",D26="",E26="",F26="",G26="",H26="",I26="",J26="",K26="",L26=""),"Incomplete",IF(OR(F26="Evidence required",J26="Evidence required"),"Evidence required",IF(L26&lt;&gt;"Reviewed","Review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7" t="str">
        <x:f>IF(A27="","",IF(OR(B27="",C27="",D27="",E27="",F27="",G27="",H27="",I27="",J27="",K27="",L27=""),"Incomplete",IF(OR(F27="Evidence required",J27="Evidence required"),"Evidence required",IF(L27&lt;&gt;"Reviewed","Review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7" t="str">
        <x:f>IF(A28="","",IF(OR(B28="",C28="",D28="",E28="",F28="",G28="",H28="",I28="",J28="",K28="",L28=""),"Incomplete",IF(OR(F28="Evidence required",J28="Evidence required"),"Evidence required",IF(L28&lt;&gt;"Reviewed","Review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7" t="str">
        <x:f>IF(A29="","",IF(OR(B29="",C29="",D29="",E29="",F29="",G29="",H29="",I29="",J29="",K29="",L29=""),"Incomplete",IF(OR(F29="Evidence required",J29="Evidence required"),"Evidence required",IF(L29&lt;&gt;"Reviewed","Review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7" t="str">
        <x:f>IF(A30="","",IF(OR(B30="",C30="",D30="",E30="",F30="",G30="",H30="",I30="",J30="",K30="",L30=""),"Incomplete",IF(OR(F30="Evidence required",J30="Evidence required"),"Evidence required",IF(L30&lt;&gt;"Reviewed","Review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7" t="str">
        <x:f>IF(A31="","",IF(OR(B31="",C31="",D31="",E31="",F31="",G31="",H31="",I31="",J31="",K31="",L31=""),"Incomplete",IF(OR(F31="Evidence required",J31="Evidence required"),"Evidence required",IF(L31&lt;&gt;"Reviewed","Review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7" t="str">
        <x:f>IF(A32="","",IF(OR(B32="",C32="",D32="",E32="",F32="",G32="",H32="",I32="",J32="",K32="",L32=""),"Incomplete",IF(OR(F32="Evidence required",J32="Evidence required"),"Evidence required",IF(L32&lt;&gt;"Reviewed","Review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7" t="str">
        <x:f>IF(A33="","",IF(OR(B33="",C33="",D33="",E33="",F33="",G33="",H33="",I33="",J33="",K33="",L33=""),"Incomplete",IF(OR(F33="Evidence required",J33="Evidence required"),"Evidence required",IF(L33&lt;&gt;"Reviewed","Review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7" t="str">
        <x:f>IF(A34="","",IF(OR(B34="",C34="",D34="",E34="",F34="",G34="",H34="",I34="",J34="",K34="",L34=""),"Incomplete",IF(OR(F34="Evidence required",J34="Evidence required"),"Evidence required",IF(L34&lt;&gt;"Reviewed","Review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7" t="str">
        <x:f>IF(A35="","",IF(OR(B35="",C35="",D35="",E35="",F35="",G35="",H35="",I35="",J35="",K35="",L35=""),"Incomplete",IF(OR(F35="Evidence required",J35="Evidence required"),"Evidence required",IF(L35&lt;&gt;"Reviewed","Review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7" t="str">
        <x:f>IF(A36="","",IF(OR(B36="",C36="",D36="",E36="",F36="",G36="",H36="",I36="",J36="",K36="",L36=""),"Incomplete",IF(OR(F36="Evidence required",J36="Evidence required"),"Evidence required",IF(L36&lt;&gt;"Reviewed","Review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7" t="str">
        <x:f>IF(A37="","",IF(OR(B37="",C37="",D37="",E37="",F37="",G37="",H37="",I37="",J37="",K37="",L37=""),"Incomplete",IF(OR(F37="Evidence required",J37="Evidence required"),"Evidence required",IF(L37&lt;&gt;"Reviewed","Review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7" t="str">
        <x:f>IF(A38="","",IF(OR(B38="",C38="",D38="",E38="",F38="",G38="",H38="",I38="",J38="",K38="",L38=""),"Incomplete",IF(OR(F38="Evidence required",J38="Evidence required"),"Evidence required",IF(L38&lt;&gt;"Reviewed","Review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7" t="str">
        <x:f>IF(A39="","",IF(OR(B39="",C39="",D39="",E39="",F39="",G39="",H39="",I39="",J39="",K39="",L39=""),"Incomplete",IF(OR(F39="Evidence required",J39="Evidence required"),"Evidence required",IF(L39&lt;&gt;"Reviewed","Review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7" t="str">
        <x:f>IF(A40="","",IF(OR(B40="",C40="",D40="",E40="",F40="",G40="",H40="",I40="",J40="",K40="",L40=""),"Incomplete",IF(OR(F40="Evidence required",J40="Evidence required"),"Evidence required",IF(L40&lt;&gt;"Reviewed","Review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7" t="str">
        <x:f>IF(A41="","",IF(OR(B41="",C41="",D41="",E41="",F41="",G41="",H41="",I41="",J41="",K41="",L41=""),"Incomplete",IF(OR(F41="Evidence required",J41="Evidence required"),"Evidence required",IF(L41&lt;&gt;"Reviewed","Review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7" t="str">
        <x:f>IF(A42="","",IF(OR(B42="",C42="",D42="",E42="",F42="",G42="",H42="",I42="",J42="",K42="",L42=""),"Incomplete",IF(OR(F42="Evidence required",J42="Evidence required"),"Evidence required",IF(L42&lt;&gt;"Reviewed","Review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7" t="str">
        <x:f>IF(A43="","",IF(OR(B43="",C43="",D43="",E43="",F43="",G43="",H43="",I43="",J43="",K43="",L43=""),"Incomplete",IF(OR(F43="Evidence required",J43="Evidence required"),"Evidence required",IF(L43&lt;&gt;"Reviewed","Review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7" t="str">
        <x:f>IF(A44="","",IF(OR(B44="",C44="",D44="",E44="",F44="",G44="",H44="",I44="",J44="",K44="",L44=""),"Incomplete",IF(OR(F44="Evidence required",J44="Evidence required"),"Evidence required",IF(L44&lt;&gt;"Reviewed","Review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7" t="str">
        <x:f>IF(A45="","",IF(OR(B45="",C45="",D45="",E45="",F45="",G45="",H45="",I45="",J45="",K45="",L45=""),"Incomplete",IF(OR(F45="Evidence required",J45="Evidence required"),"Evidence required",IF(L45&lt;&gt;"Reviewed","Review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7" t="str">
        <x:f>IF(A46="","",IF(OR(B46="",C46="",D46="",E46="",F46="",G46="",H46="",I46="",J46="",K46="",L46=""),"Incomplete",IF(OR(F46="Evidence required",J46="Evidence required"),"Evidence required",IF(L46&lt;&gt;"Reviewed","Review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7" t="str">
        <x:f>IF(A47="","",IF(OR(B47="",C47="",D47="",E47="",F47="",G47="",H47="",I47="",J47="",K47="",L47=""),"Incomplete",IF(OR(F47="Evidence required",J47="Evidence required"),"Evidence required",IF(L47&lt;&gt;"Reviewed","Review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7" t="str">
        <x:f>IF(A48="","",IF(OR(B48="",C48="",D48="",E48="",F48="",G48="",H48="",I48="",J48="",K48="",L48=""),"Incomplete",IF(OR(F48="Evidence required",J48="Evidence required"),"Evidence required",IF(L48&lt;&gt;"Reviewed","Review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7" t="str">
        <x:f>IF(A49="","",IF(OR(B49="",C49="",D49="",E49="",F49="",G49="",H49="",I49="",J49="",K49="",L49=""),"Incomplete",IF(OR(F49="Evidence required",J49="Evidence required"),"Evidence required",IF(L49&lt;&gt;"Reviewed","Review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7" t="str">
        <x:f>IF(A50="","",IF(OR(B50="",C50="",D50="",E50="",F50="",G50="",H50="",I50="",J50="",K50="",L50=""),"Incomplete",IF(OR(F50="Evidence required",J50="Evidence required"),"Evidence required",IF(L50&lt;&gt;"Reviewed","Review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7" t="str">
        <x:f>IF(A51="","",IF(OR(B51="",C51="",D51="",E51="",F51="",G51="",H51="",I51="",J51="",K51="",L51=""),"Incomplete",IF(OR(F51="Evidence required",J51="Evidence required"),"Evidence required",IF(L51&lt;&gt;"Reviewed","Review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7" t="str">
        <x:f>IF(A52="","",IF(OR(B52="",C52="",D52="",E52="",F52="",G52="",H52="",I52="",J52="",K52="",L52=""),"Incomplete",IF(OR(F52="Evidence required",J52="Evidence required"),"Evidence required",IF(L52&lt;&gt;"Reviewed","Review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7" t="str">
        <x:f>IF(A53="","",IF(OR(B53="",C53="",D53="",E53="",F53="",G53="",H53="",I53="",J53="",K53="",L53=""),"Incomplete",IF(OR(F53="Evidence required",J53="Evidence required"),"Evidence required",IF(L53&lt;&gt;"Reviewed","Review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7" t="str">
        <x:f>IF(A54="","",IF(OR(B54="",C54="",D54="",E54="",F54="",G54="",H54="",I54="",J54="",K54="",L54=""),"Incomplete",IF(OR(F54="Evidence required",J54="Evidence required"),"Evidence required",IF(L54&lt;&gt;"Reviewed","Review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7" t="str">
        <x:f>IF(A55="","",IF(OR(B55="",C55="",D55="",E55="",F55="",G55="",H55="",I55="",J55="",K55="",L55=""),"Incomplete",IF(OR(F55="Evidence required",J55="Evidence required"),"Evidence required",IF(L55&lt;&gt;"Reviewed","Review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7" t="str">
        <x:f>IF(A56="","",IF(OR(B56="",C56="",D56="",E56="",F56="",G56="",H56="",I56="",J56="",K56="",L56=""),"Incomplete",IF(OR(F56="Evidence required",J56="Evidence required"),"Evidence required",IF(L56&lt;&gt;"Reviewed","Review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7" t="str">
        <x:f>IF(A57="","",IF(OR(B57="",C57="",D57="",E57="",F57="",G57="",H57="",I57="",J57="",K57="",L57=""),"Incomplete",IF(OR(F57="Evidence required",J57="Evidence required"),"Evidence required",IF(L57&lt;&gt;"Reviewed","Review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7" t="str">
        <x:f>IF(A58="","",IF(OR(B58="",C58="",D58="",E58="",F58="",G58="",H58="",I58="",J58="",K58="",L58=""),"Incomplete",IF(OR(F58="Evidence required",J58="Evidence required"),"Evidence required",IF(L58&lt;&gt;"Reviewed","Review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7" t="str">
        <x:f>IF(A59="","",IF(OR(B59="",C59="",D59="",E59="",F59="",G59="",H59="",I59="",J59="",K59="",L59=""),"Incomplete",IF(OR(F59="Evidence required",J59="Evidence required"),"Evidence required",IF(L59&lt;&gt;"Reviewed","Review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7" t="str">
        <x:f>IF(A60="","",IF(OR(B60="",C60="",D60="",E60="",F60="",G60="",H60="",I60="",J60="",K60="",L60=""),"Incomplete",IF(OR(F60="Evidence required",J60="Evidence required"),"Evidence required",IF(L60&lt;&gt;"Reviewed","Review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7" t="str">
        <x:f>IF(A61="","",IF(OR(B61="",C61="",D61="",E61="",F61="",G61="",H61="",I61="",J61="",K61="",L61=""),"Incomplete",IF(OR(F61="Evidence required",J61="Evidence required"),"Evidence required",IF(L61&lt;&gt;"Reviewed","Review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7" t="str">
        <x:f>IF(A62="","",IF(OR(B62="",C62="",D62="",E62="",F62="",G62="",H62="",I62="",J62="",K62="",L62=""),"Incomplete",IF(OR(F62="Evidence required",J62="Evidence required"),"Evidence required",IF(L62&lt;&gt;"Reviewed","Review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7" t="str">
        <x:f>IF(A63="","",IF(OR(B63="",C63="",D63="",E63="",F63="",G63="",H63="",I63="",J63="",K63="",L63=""),"Incomplete",IF(OR(F63="Evidence required",J63="Evidence required"),"Evidence required",IF(L63&lt;&gt;"Reviewed","Review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7" t="str">
        <x:f>IF(A64="","",IF(OR(B64="",C64="",D64="",E64="",F64="",G64="",H64="",I64="",J64="",K64="",L64=""),"Incomplete",IF(OR(F64="Evidence required",J64="Evidence required"),"Evidence required",IF(L64&lt;&gt;"Reviewed","Review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7" t="str">
        <x:f>IF(A65="","",IF(OR(B65="",C65="",D65="",E65="",F65="",G65="",H65="",I65="",J65="",K65="",L65=""),"Incomplete",IF(OR(F65="Evidence required",J65="Evidence required"),"Evidence required",IF(L65&lt;&gt;"Reviewed","Review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7" t="str">
        <x:f>IF(A66="","",IF(OR(B66="",C66="",D66="",E66="",F66="",G66="",H66="",I66="",J66="",K66="",L66=""),"Incomplete",IF(OR(F66="Evidence required",J66="Evidence required"),"Evidence required",IF(L66&lt;&gt;"Reviewed","Review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7" t="str">
        <x:f>IF(A67="","",IF(OR(B67="",C67="",D67="",E67="",F67="",G67="",H67="",I67="",J67="",K67="",L67=""),"Incomplete",IF(OR(F67="Evidence required",J67="Evidence required"),"Evidence required",IF(L67&lt;&gt;"Reviewed","Review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7" t="str">
        <x:f>IF(A68="","",IF(OR(B68="",C68="",D68="",E68="",F68="",G68="",H68="",I68="",J68="",K68="",L68=""),"Incomplete",IF(OR(F68="Evidence required",J68="Evidence required"),"Evidence required",IF(L68&lt;&gt;"Reviewed","Review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7" t="str">
        <x:f>IF(A69="","",IF(OR(B69="",C69="",D69="",E69="",F69="",G69="",H69="",I69="",J69="",K69="",L69=""),"Incomplete",IF(OR(F69="Evidence required",J69="Evidence required"),"Evidence required",IF(L69&lt;&gt;"Reviewed","Review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7" t="str">
        <x:f>IF(A70="","",IF(OR(B70="",C70="",D70="",E70="",F70="",G70="",H70="",I70="",J70="",K70="",L70=""),"Incomplete",IF(OR(F70="Evidence required",J70="Evidence required"),"Evidence required",IF(L70&lt;&gt;"Reviewed","Review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7" t="str">
        <x:f>IF(A71="","",IF(OR(B71="",C71="",D71="",E71="",F71="",G71="",H71="",I71="",J71="",K71="",L71=""),"Incomplete",IF(OR(F71="Evidence required",J71="Evidence required"),"Evidence required",IF(L71&lt;&gt;"Reviewed","Review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7" t="str">
        <x:f>IF(A72="","",IF(OR(B72="",C72="",D72="",E72="",F72="",G72="",H72="",I72="",J72="",K72="",L72=""),"Incomplete",IF(OR(F72="Evidence required",J72="Evidence required"),"Evidence required",IF(L72&lt;&gt;"Reviewed","Review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7" t="str">
        <x:f>IF(A73="","",IF(OR(B73="",C73="",D73="",E73="",F73="",G73="",H73="",I73="",J73="",K73="",L73=""),"Incomplete",IF(OR(F73="Evidence required",J73="Evidence required"),"Evidence required",IF(L73&lt;&gt;"Reviewed","Review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7" t="str">
        <x:f>IF(A74="","",IF(OR(B74="",C74="",D74="",E74="",F74="",G74="",H74="",I74="",J74="",K74="",L74=""),"Incomplete",IF(OR(F74="Evidence required",J74="Evidence required"),"Evidence required",IF(L74&lt;&gt;"Reviewed","Review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7" t="str">
        <x:f>IF(A75="","",IF(OR(B75="",C75="",D75="",E75="",F75="",G75="",H75="",I75="",J75="",K75="",L75=""),"Incomplete",IF(OR(F75="Evidence required",J75="Evidence required"),"Evidence required",IF(L75&lt;&gt;"Reviewed","Review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7" t="str">
        <x:f>IF(A76="","",IF(OR(B76="",C76="",D76="",E76="",F76="",G76="",H76="",I76="",J76="",K76="",L76=""),"Incomplete",IF(OR(F76="Evidence required",J76="Evidence required"),"Evidence required",IF(L76&lt;&gt;"Reviewed","Review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7" t="str">
        <x:f>IF(A77="","",IF(OR(B77="",C77="",D77="",E77="",F77="",G77="",H77="",I77="",J77="",K77="",L77=""),"Incomplete",IF(OR(F77="Evidence required",J77="Evidence required"),"Evidence required",IF(L77&lt;&gt;"Reviewed","Review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7" t="str">
        <x:f>IF(A78="","",IF(OR(B78="",C78="",D78="",E78="",F78="",G78="",H78="",I78="",J78="",K78="",L78=""),"Incomplete",IF(OR(F78="Evidence required",J78="Evidence required"),"Evidence required",IF(L78&lt;&gt;"Reviewed","Review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7" t="str">
        <x:f>IF(A79="","",IF(OR(B79="",C79="",D79="",E79="",F79="",G79="",H79="",I79="",J79="",K79="",L79=""),"Incomplete",IF(OR(F79="Evidence required",J79="Evidence required"),"Evidence required",IF(L79&lt;&gt;"Reviewed","Review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7" t="str">
        <x:f>IF(A80="","",IF(OR(B80="",C80="",D80="",E80="",F80="",G80="",H80="",I80="",J80="",K80="",L80=""),"Incomplete",IF(OR(F80="Evidence required",J80="Evidence required"),"Evidence required",IF(L80&lt;&gt;"Reviewed","Review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7" t="str">
        <x:f>IF(A81="","",IF(OR(B81="",C81="",D81="",E81="",F81="",G81="",H81="",I81="",J81="",K81="",L81=""),"Incomplete",IF(OR(F81="Evidence required",J81="Evidence required"),"Evidence required",IF(L81&lt;&gt;"Reviewed","Review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7" t="str">
        <x:f>IF(A82="","",IF(OR(B82="",C82="",D82="",E82="",F82="",G82="",H82="",I82="",J82="",K82="",L82=""),"Incomplete",IF(OR(F82="Evidence required",J82="Evidence required"),"Evidence required",IF(L82&lt;&gt;"Reviewed","Review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7" t="str">
        <x:f>IF(A83="","",IF(OR(B83="",C83="",D83="",E83="",F83="",G83="",H83="",I83="",J83="",K83="",L83=""),"Incomplete",IF(OR(F83="Evidence required",J83="Evidence required"),"Evidence required",IF(L83&lt;&gt;"Reviewed","Review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7" t="str">
        <x:f>IF(A84="","",IF(OR(B84="",C84="",D84="",E84="",F84="",G84="",H84="",I84="",J84="",K84="",L84=""),"Incomplete",IF(OR(F84="Evidence required",J84="Evidence required"),"Evidence required",IF(L84&lt;&gt;"Reviewed","Review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7" t="str">
        <x:f>IF(A85="","",IF(OR(B85="",C85="",D85="",E85="",F85="",G85="",H85="",I85="",J85="",K85="",L85=""),"Incomplete",IF(OR(F85="Evidence required",J85="Evidence required"),"Evidence required",IF(L85&lt;&gt;"Reviewed","Review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7" t="str">
        <x:f>IF(A86="","",IF(OR(B86="",C86="",D86="",E86="",F86="",G86="",H86="",I86="",J86="",K86="",L86=""),"Incomplete",IF(OR(F86="Evidence required",J86="Evidence required"),"Evidence required",IF(L86&lt;&gt;"Reviewed","Review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7" t="str">
        <x:f>IF(A87="","",IF(OR(B87="",C87="",D87="",E87="",F87="",G87="",H87="",I87="",J87="",K87="",L87=""),"Incomplete",IF(OR(F87="Evidence required",J87="Evidence required"),"Evidence required",IF(L87&lt;&gt;"Reviewed","Review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7" t="str">
        <x:f>IF(A88="","",IF(OR(B88="",C88="",D88="",E88="",F88="",G88="",H88="",I88="",J88="",K88="",L88=""),"Incomplete",IF(OR(F88="Evidence required",J88="Evidence required"),"Evidence required",IF(L88&lt;&gt;"Reviewed","Review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7" t="str">
        <x:f>IF(A89="","",IF(OR(B89="",C89="",D89="",E89="",F89="",G89="",H89="",I89="",J89="",K89="",L89=""),"Incomplete",IF(OR(F89="Evidence required",J89="Evidence required"),"Evidence required",IF(L89&lt;&gt;"Reviewed","Review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7" t="str">
        <x:f>IF(A90="","",IF(OR(B90="",C90="",D90="",E90="",F90="",G90="",H90="",I90="",J90="",K90="",L90=""),"Incomplete",IF(OR(F90="Evidence required",J90="Evidence required"),"Evidence required",IF(L90&lt;&gt;"Reviewed","Review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7" t="str">
        <x:f>IF(A91="","",IF(OR(B91="",C91="",D91="",E91="",F91="",G91="",H91="",I91="",J91="",K91="",L91=""),"Incomplete",IF(OR(F91="Evidence required",J91="Evidence required"),"Evidence required",IF(L91&lt;&gt;"Reviewed","Review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7" t="str">
        <x:f>IF(A92="","",IF(OR(B92="",C92="",D92="",E92="",F92="",G92="",H92="",I92="",J92="",K92="",L92=""),"Incomplete",IF(OR(F92="Evidence required",J92="Evidence required"),"Evidence required",IF(L92&lt;&gt;"Reviewed","Review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7" t="str">
        <x:f>IF(A93="","",IF(OR(B93="",C93="",D93="",E93="",F93="",G93="",H93="",I93="",J93="",K93="",L93=""),"Incomplete",IF(OR(F93="Evidence required",J93="Evidence required"),"Evidence required",IF(L93&lt;&gt;"Reviewed","Review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7" t="str">
        <x:f>IF(A94="","",IF(OR(B94="",C94="",D94="",E94="",F94="",G94="",H94="",I94="",J94="",K94="",L94=""),"Incomplete",IF(OR(F94="Evidence required",J94="Evidence required"),"Evidence required",IF(L94&lt;&gt;"Reviewed","Review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7" t="str">
        <x:f>IF(A95="","",IF(OR(B95="",C95="",D95="",E95="",F95="",G95="",H95="",I95="",J95="",K95="",L95=""),"Incomplete",IF(OR(F95="Evidence required",J95="Evidence required"),"Evidence required",IF(L95&lt;&gt;"Reviewed","Review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7" t="str">
        <x:f>IF(A96="","",IF(OR(B96="",C96="",D96="",E96="",F96="",G96="",H96="",I96="",J96="",K96="",L96=""),"Incomplete",IF(OR(F96="Evidence required",J96="Evidence required"),"Evidence required",IF(L96&lt;&gt;"Reviewed","Review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7" t="str">
        <x:f>IF(A97="","",IF(OR(B97="",C97="",D97="",E97="",F97="",G97="",H97="",I97="",J97="",K97="",L97=""),"Incomplete",IF(OR(F97="Evidence required",J97="Evidence required"),"Evidence required",IF(L97&lt;&gt;"Reviewed","Review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7" t="str">
        <x:f>IF(A98="","",IF(OR(B98="",C98="",D98="",E98="",F98="",G98="",H98="",I98="",J98="",K98="",L98=""),"Incomplete",IF(OR(F98="Evidence required",J98="Evidence required"),"Evidence required",IF(L98&lt;&gt;"Reviewed","Review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7" t="str">
        <x:f>IF(A99="","",IF(OR(B99="",C99="",D99="",E99="",F99="",G99="",H99="",I99="",J99="",K99="",L99=""),"Incomplete",IF(OR(F99="Evidence required",J99="Evidence required"),"Evidence required",IF(L99&lt;&gt;"Reviewed","Review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7" t="str">
        <x:f>IF(A100="","",IF(OR(B100="",C100="",D100="",E100="",F100="",G100="",H100="",I100="",J100="",K100="",L100=""),"Incomplete",IF(OR(F100="Evidence required",J100="Evidence required"),"Evidence required",IF(L100&lt;&gt;"Reviewed","Review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7" t="str">
        <x:f>IF(A101="","",IF(OR(B101="",C101="",D101="",E101="",F101="",G101="",H101="",I101="",J101="",K101="",L101=""),"Incomplete",IF(OR(F101="Evidence required",J101="Evidence required"),"Evidence required",IF(L101&lt;&gt;"Reviewed","Review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7" t="str">
        <x:f>IF(A102="","",IF(OR(B102="",C102="",D102="",E102="",F102="",G102="",H102="",I102="",J102="",K102="",L102=""),"Incomplete",IF(OR(F102="Evidence required",J102="Evidence required"),"Evidence required",IF(L102&lt;&gt;"Reviewed","Review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7" t="str">
        <x:f>IF(A103="","",IF(OR(B103="",C103="",D103="",E103="",F103="",G103="",H103="",I103="",J103="",K103="",L103=""),"Incomplete",IF(OR(F103="Evidence required",J103="Evidence required"),"Evidence required",IF(L103&lt;&gt;"Reviewed","Review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7" t="str">
        <x:f>IF(A104="","",IF(OR(B104="",C104="",D104="",E104="",F104="",G104="",H104="",I104="",J104="",K104="",L104=""),"Incomplete",IF(OR(F104="Evidence required",J104="Evidence required"),"Evidence required",IF(L104&lt;&gt;"Reviewed","Review required","Ready for qualified review"))))</x:f>
      </x:c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8" t="str">
        <x:f>IF(A105="","",IF(OR(B105="",C105="",D105="",E105="",F105="",G105="",H105="",I105="",J105="",K105="",L105=""),"Incomplete",IF(OR(F105="Evidence required",J105="Evidence required"),"Evidence required",IF(L105&lt;&gt;"Reviewed","Review required","Ready for qualified review"))))</x:f>
      </x:c>
    </x:row>
  </x:sheetData>
  <x:mergeCells>
    <x:mergeCell ref="A1:M1"/>
    <x:mergeCell ref="A2:M2"/>
  </x:mergeCells>
  <x:conditionalFormatting sqref="M6:M105">
    <x:cfRule type="containsText" dxfId="28" priority="1" operator="containsText" text="Incomplete"/>
    <x:cfRule type="containsText" dxfId="29" priority="2" operator="containsText" text="Evidence required"/>
    <x:cfRule type="containsText" dxfId="30" priority="3" operator="containsText" text="Review required"/>
    <x:cfRule type="containsText" dxfId="31" priority="4" operator="containsText" text="Open"/>
    <x:cfRule type="containsText" dxfId="32" priority="5" operator="containsText" text="Overdue"/>
    <x:cfRule type="containsText" dxfId="33" priority="6" operator="containsText" text="Ready"/>
    <x:cfRule type="containsText" dxfId="34" priority="7" operator="containsText" text="Closed"/>
  </x:conditionalFormatting>
  <x:dataValidations count="1">
    <x:dataValidation type="list" sqref="L6:L105">
      <x:formula1>"Not started,Draft,In review,Reviewed"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9" hidden="0" customWidth="1"/>
    <x:col min="3" max="3" width="29" hidden="0" customWidth="1"/>
    <x:col min="4" max="4" width="28" hidden="0" customWidth="1"/>
    <x:col min="5" max="5" width="34" hidden="0" customWidth="1"/>
    <x:col min="6" max="6" width="31" hidden="0" customWidth="1"/>
    <x:col min="7" max="7" width="38" hidden="0" customWidth="1"/>
    <x:col min="8" max="8" width="37" hidden="0" customWidth="1"/>
    <x:col min="9" max="9" width="38" hidden="0" customWidth="1"/>
    <x:col min="10" max="10" width="35" hidden="0" customWidth="1"/>
    <x:col min="11" max="11" width="19" hidden="0" customWidth="1"/>
    <x:col min="12" max="12" width="26" hidden="0" customWidth="1"/>
    <x:col min="13" max="13" width="18" hidden="0" customWidth="1"/>
    <x:col min="14" max="14" width="17" hidden="0" customWidth="1"/>
    <x:col min="15" max="15" width="22" hidden="0" customWidth="1"/>
  </x:cols>
  <x:sheetData>
    <x:row r="1" ht="28" customHeight="1">
      <x:c r="A1" s="3" t="str">
        <x:v>Reference Materials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Preserve reference, cell, critical-reagent, and calibration-model identity, intended use, assigned property, stability, bridging, and ownership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5" ht="38" customHeight="1">
      <x:c r="A5" s="47" t="str">
        <x:v>Reference ID</x:v>
      </x:c>
      <x:c r="B5" s="48" t="str">
        <x:v>Material / system</x:v>
      </x:c>
      <x:c r="C5" s="48" t="str">
        <x:v>Tier / type</x:v>
      </x:c>
      <x:c r="D5" s="48" t="str">
        <x:v>Intended use / method IDs</x:v>
      </x:c>
      <x:c r="E5" s="48" t="str">
        <x:v>Assigned property / value reference</x:v>
      </x:c>
      <x:c r="F5" s="48" t="str">
        <x:v>Traceability / source</x:v>
      </x:c>
      <x:c r="G5" s="48" t="str">
        <x:v>Characterization / qualification</x:v>
      </x:c>
      <x:c r="H5" s="48" t="str">
        <x:v>Stability / storage / in-use</x:v>
      </x:c>
      <x:c r="I5" s="48" t="str">
        <x:v>Bridge / replacement evidence</x:v>
      </x:c>
      <x:c r="J5" s="48" t="str">
        <x:v>Critical reagents / cells / model</x:v>
      </x:c>
      <x:c r="K5" s="48" t="str">
        <x:v>Evidence IDs</x:v>
      </x:c>
      <x:c r="L5" s="48" t="str">
        <x:v>Owner role</x:v>
      </x:c>
      <x:c r="M5" s="48" t="str">
        <x:v>Lifecycle status</x:v>
      </x:c>
      <x:c r="N5" s="48" t="str">
        <x:v>Review status</x:v>
      </x:c>
      <x:c r="O5" s="49" t="str">
        <x:v>Attention</x:v>
      </x:c>
    </x:row>
    <x:row r="6">
      <x:c r="A6" s="60" t="str">
        <x:v>REF-001</x:v>
      </x:c>
      <x:c r="B6" s="60" t="str">
        <x:v>Fictional in-house primary reference PRS-01</x:v>
      </x:c>
      <x:c r="C6" s="60" t="str">
        <x:v>In-house primary reference</x:v>
      </x:c>
      <x:c r="D6" s="60" t="str">
        <x:v>Current physicochemical and biological procedures</x:v>
      </x:c>
      <x:c r="E6" s="60" t="str">
        <x:v>Controlled assigned-property references by intended use</x:v>
      </x:c>
      <x:c r="F6" s="60" t="str">
        <x:v>Representative fictional product lot(s); controlled qualification chain</x:v>
      </x:c>
      <x:c r="G6" s="60" t="str">
        <x:v>FIC-REF-QUAL-001; orthogonal characterization and use-specific suitability</x:v>
      </x:c>
      <x:c r="H6" s="60" t="str">
        <x:v>Controlled stability, storage, monitoring, and in-use references</x:v>
      </x:c>
      <x:c r="I6" s="60" t="str">
        <x:v>Bridge to proposed PRS-02 is open</x:v>
      </x:c>
      <x:c r="J6" s="60" t="str">
        <x:v>Linked working standards, cells, reagents, controls, and model versions</x:v>
      </x:c>
      <x:c r="K6" s="60" t="str">
        <x:v>EVD-001; EVD-002; EVD-004; EVD-007</x:v>
      </x:c>
      <x:c r="L6" s="60" t="str">
        <x:v>Reference-standard owner / Quality</x:v>
      </x:c>
      <x:c r="M6" s="60" t="str">
        <x:v>Active</x:v>
      </x:c>
      <x:c r="N6" s="60" t="str">
        <x:v>In review</x:v>
      </x:c>
      <x:c r="O6" s="66" t="str">
        <x:f>IF(A6="","",IF(OR(B6="",C6="",D6="",E6="",F6="",G6="",H6="",I6="",J6="",K6="",L6="",M6="",N6=""),"Incomplete",IF(OR(E6="Evidence required",G6="Evidence required",H6="Evidence required",I6="Evidence required"),"Evidence required",IF(OR(M6="Proposed",M6="Bridging",M6="Quarantined",N6&lt;&gt;"Reviewed"),"Review required","Ready for qualified review"))))</x:f>
        <x:v>Review required</x:v>
      </x:c>
    </x:row>
    <x:row r="7">
      <x:c r="A7" s="61" t="str">
        <x:v>REF-002</x:v>
      </x:c>
      <x:c r="B7" s="61" t="str">
        <x:v>Fictional proposed primary reference PRS-02</x:v>
      </x:c>
      <x:c r="C7" s="61" t="str">
        <x:v>In-house primary reference</x:v>
      </x:c>
      <x:c r="D7" s="61" t="str">
        <x:v>Proposed future physicochemical and biological procedures</x:v>
      </x:c>
      <x:c r="E7" s="61" t="str">
        <x:v>Proposed assigned-property references pending qualified bridge</x:v>
      </x:c>
      <x:c r="F7" s="61" t="str">
        <x:v>Fictional candidate product lot; source and representativeness under review</x:v>
      </x:c>
      <x:c r="G7" s="61" t="str">
        <x:v>FIC-REF-CHAR-002; characterization package under review</x:v>
      </x:c>
      <x:c r="H7" s="61" t="str">
        <x:v>Stability, storage, monitoring, and in-use program initiated</x:v>
      </x:c>
      <x:c r="I7" s="61" t="str">
        <x:v>Prospective bridge against PRS-01 across intended uses and representative samples</x:v>
      </x:c>
      <x:c r="J7" s="61" t="str">
        <x:v>Proposed linked working standards and procedure-specific controls</x:v>
      </x:c>
      <x:c r="K7" s="61" t="str">
        <x:v>EVD-004; EVD-007; EVD-010</x:v>
      </x:c>
      <x:c r="L7" s="61" t="str">
        <x:v>Reference-standard owner / Product quality / Quality</x:v>
      </x:c>
      <x:c r="M7" s="61" t="str">
        <x:v>Bridging</x:v>
      </x:c>
      <x:c r="N7" s="61" t="str">
        <x:v>In review</x:v>
      </x:c>
      <x:c r="O7" s="67" t="str">
        <x:f>IF(A7="","",IF(OR(B7="",C7="",D7="",E7="",F7="",G7="",H7="",I7="",J7="",K7="",L7="",M7="",N7=""),"Incomplete",IF(OR(E7="Evidence required",G7="Evidence required",H7="Evidence required",I7="Evidence required"),"Evidence required",IF(OR(M7="Proposed",M7="Bridging",M7="Quarantined",N7&lt;&gt;"Reviewed"),"Review required","Ready for qualified review"))))</x:f>
        <x:v>Review required</x:v>
      </x:c>
    </x:row>
    <x:row r="8">
      <x:c r="A8" s="61" t="str">
        <x:v>REF-003</x:v>
      </x:c>
      <x:c r="B8" s="61" t="str">
        <x:v>Fictional working potency reference WRS-POT-05</x:v>
      </x:c>
      <x:c r="C8" s="61" t="str">
        <x:v>In-house working reference</x:v>
      </x:c>
      <x:c r="D8" s="61" t="str">
        <x:v>MTH-005 routine and transfer use</x:v>
      </x:c>
      <x:c r="E8" s="61" t="str">
        <x:v>Controlled relative-potency assignment linked to PRS-01</x:v>
      </x:c>
      <x:c r="F8" s="61" t="str">
        <x:v>Calibrated to PRS-01 under controlled procedure</x:v>
      </x:c>
      <x:c r="G8" s="61" t="str">
        <x:v>FIC-WRS-QUAL-005; use-specific qualification</x:v>
      </x:c>
      <x:c r="H8" s="61" t="str">
        <x:v>Controlled frozen storage, monitoring, thaw/in-use, and inventory references</x:v>
      </x:c>
      <x:c r="I8" s="61" t="str">
        <x:v>Future recalibration or replacement relationship to PRS-02 is open</x:v>
      </x:c>
      <x:c r="J8" s="61" t="str">
        <x:v>REF-004 cells, critical reagents, assay controls, and calibration model</x:v>
      </x:c>
      <x:c r="K8" s="61" t="str">
        <x:v>EVD-002; EVD-003; EVD-007; EVD-008</x:v>
      </x:c>
      <x:c r="L8" s="61" t="str">
        <x:v>Bioassay reference owner / QC</x:v>
      </x:c>
      <x:c r="M8" s="61" t="str">
        <x:v>Active</x:v>
      </x:c>
      <x:c r="N8" s="61" t="str">
        <x:v>In review</x:v>
      </x:c>
      <x:c r="O8" s="67" t="str">
        <x:f>IF(A8="","",IF(OR(B8="",C8="",D8="",E8="",F8="",G8="",H8="",I8="",J8="",K8="",L8="",M8="",N8=""),"Incomplete",IF(OR(E8="Evidence required",G8="Evidence required",H8="Evidence required",I8="Evidence required"),"Evidence required",IF(OR(M8="Proposed",M8="Bridging",M8="Quarantined",N8&lt;&gt;"Reviewed"),"Review required","Ready for qualified review"))))</x:f>
        <x:v>Review required</x:v>
      </x:c>
    </x:row>
    <x:row r="9">
      <x:c r="A9" s="61" t="str">
        <x:v>REF-004</x:v>
      </x:c>
      <x:c r="B9" s="61" t="str">
        <x:v>Fictional potency cell and critical-reagent system</x:v>
      </x:c>
      <x:c r="C9" s="61" t="str">
        <x:v>Cell system</x:v>
      </x:c>
      <x:c r="D9" s="61" t="str">
        <x:v>MTH-005 system suitability and reportability</x:v>
      </x:c>
      <x:c r="E9" s="61" t="str">
        <x:v>Controlled cell-bank, passage, reagent-lot, and model references; no product value assigned</x:v>
      </x:c>
      <x:c r="F9" s="61" t="str">
        <x:v>Qualified fictional cell bank and controlled reagent supply chain</x:v>
      </x:c>
      <x:c r="G9" s="61" t="str">
        <x:v>FIC-CELL-QUAL-004 and reagent qualification records</x:v>
      </x:c>
      <x:c r="H9" s="61" t="str">
        <x:v>Controlled storage, recovery, passage, in-use, monitoring, and replacement references</x:v>
      </x:c>
      <x:c r="I9" s="61" t="str">
        <x:v>Receiving-site and lot-change bridges under review</x:v>
      </x:c>
      <x:c r="J9" s="61" t="str">
        <x:v>Cell bank, media/reagents, plate controls, reader, software, and model</x:v>
      </x:c>
      <x:c r="K9" s="61" t="str">
        <x:v>EVD-003; EVD-007; EVD-008</x:v>
      </x:c>
      <x:c r="L9" s="61" t="str">
        <x:v>Bioassay / Cell bank / QC</x:v>
      </x:c>
      <x:c r="M9" s="61" t="str">
        <x:v>Bridging</x:v>
      </x:c>
      <x:c r="N9" s="61" t="str">
        <x:v>In review</x:v>
      </x:c>
      <x:c r="O9" s="67" t="str">
        <x:f>IF(A9="","",IF(OR(B9="",C9="",D9="",E9="",F9="",G9="",H9="",I9="",J9="",K9="",L9="",M9="",N9=""),"Incomplete",IF(OR(E9="Evidence required",G9="Evidence required",H9="Evidence required",I9="Evidence required"),"Evidence required",IF(OR(M9="Proposed",M9="Bridging",M9="Quarantined",N9&lt;&gt;"Reviewed"),"Review required","Ready for qualified review"))))</x:f>
        <x:v>Review required</x:v>
      </x:c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61"/>
      <x:c r="N10" s="61"/>
      <x:c r="O10" s="67" t="str">
        <x:f>IF(A10="","",IF(OR(B10="",C10="",D10="",E10="",F10="",G10="",H10="",I10="",J10="",K10="",L10="",M10="",N10=""),"Incomplete",IF(OR(E10="Evidence required",G10="Evidence required",H10="Evidence required",I10="Evidence required"),"Evidence required",IF(OR(M10="Proposed",M10="Bridging",M10="Quarantined",N10&lt;&gt;"Reviewed"),"Review required","Ready for qualified review"))))</x:f>
      </x:c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7" t="str">
        <x:f>IF(A11="","",IF(OR(B11="",C11="",D11="",E11="",F11="",G11="",H11="",I11="",J11="",K11="",L11="",M11="",N11=""),"Incomplete",IF(OR(E11="Evidence required",G11="Evidence required",H11="Evidence required",I11="Evidence required"),"Evidence required",IF(OR(M11="Proposed",M11="Bridging",M11="Quarantined",N11&lt;&gt;"Reviewed"),"Review required","Ready for qualified review"))))</x:f>
      </x:c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1"/>
      <x:c r="O12" s="67" t="str">
        <x:f>IF(A12="","",IF(OR(B12="",C12="",D12="",E12="",F12="",G12="",H12="",I12="",J12="",K12="",L12="",M12="",N12=""),"Incomplete",IF(OR(E12="Evidence required",G12="Evidence required",H12="Evidence required",I12="Evidence required"),"Evidence required",IF(OR(M12="Proposed",M12="Bridging",M12="Quarantined",N12&lt;&gt;"Reviewed"),"Review required","Ready for qualified review"))))</x:f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7" t="str">
        <x:f>IF(A13="","",IF(OR(B13="",C13="",D13="",E13="",F13="",G13="",H13="",I13="",J13="",K13="",L13="",M13="",N13=""),"Incomplete",IF(OR(E13="Evidence required",G13="Evidence required",H13="Evidence required",I13="Evidence required"),"Evidence required",IF(OR(M13="Proposed",M13="Bridging",M13="Quarantined",N13&lt;&gt;"Reviewed"),"Review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7" t="str">
        <x:f>IF(A14="","",IF(OR(B14="",C14="",D14="",E14="",F14="",G14="",H14="",I14="",J14="",K14="",L14="",M14="",N14=""),"Incomplete",IF(OR(E14="Evidence required",G14="Evidence required",H14="Evidence required",I14="Evidence required"),"Evidence required",IF(OR(M14="Proposed",M14="Bridging",M14="Quarantined",N14&lt;&gt;"Reviewed"),"Review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7" t="str">
        <x:f>IF(A15="","",IF(OR(B15="",C15="",D15="",E15="",F15="",G15="",H15="",I15="",J15="",K15="",L15="",M15="",N15=""),"Incomplete",IF(OR(E15="Evidence required",G15="Evidence required",H15="Evidence required",I15="Evidence required"),"Evidence required",IF(OR(M15="Proposed",M15="Bridging",M15="Quarantined",N15&lt;&gt;"Reviewed"),"Review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7" t="str">
        <x:f>IF(A16="","",IF(OR(B16="",C16="",D16="",E16="",F16="",G16="",H16="",I16="",J16="",K16="",L16="",M16="",N16=""),"Incomplete",IF(OR(E16="Evidence required",G16="Evidence required",H16="Evidence required",I16="Evidence required"),"Evidence required",IF(OR(M16="Proposed",M16="Bridging",M16="Quarantined",N16&lt;&gt;"Reviewed"),"Review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7" t="str">
        <x:f>IF(A17="","",IF(OR(B17="",C17="",D17="",E17="",F17="",G17="",H17="",I17="",J17="",K17="",L17="",M17="",N17=""),"Incomplete",IF(OR(E17="Evidence required",G17="Evidence required",H17="Evidence required",I17="Evidence required"),"Evidence required",IF(OR(M17="Proposed",M17="Bridging",M17="Quarantined",N17&lt;&gt;"Reviewed"),"Review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7" t="str">
        <x:f>IF(A18="","",IF(OR(B18="",C18="",D18="",E18="",F18="",G18="",H18="",I18="",J18="",K18="",L18="",M18="",N18=""),"Incomplete",IF(OR(E18="Evidence required",G18="Evidence required",H18="Evidence required",I18="Evidence required"),"Evidence required",IF(OR(M18="Proposed",M18="Bridging",M18="Quarantined",N18&lt;&gt;"Reviewed"),"Review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7" t="str">
        <x:f>IF(A19="","",IF(OR(B19="",C19="",D19="",E19="",F19="",G19="",H19="",I19="",J19="",K19="",L19="",M19="",N19=""),"Incomplete",IF(OR(E19="Evidence required",G19="Evidence required",H19="Evidence required",I19="Evidence required"),"Evidence required",IF(OR(M19="Proposed",M19="Bridging",M19="Quarantined",N19&lt;&gt;"Reviewed"),"Review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7" t="str">
        <x:f>IF(A20="","",IF(OR(B20="",C20="",D20="",E20="",F20="",G20="",H20="",I20="",J20="",K20="",L20="",M20="",N20=""),"Incomplete",IF(OR(E20="Evidence required",G20="Evidence required",H20="Evidence required",I20="Evidence required"),"Evidence required",IF(OR(M20="Proposed",M20="Bridging",M20="Quarantined",N20&lt;&gt;"Reviewed"),"Review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7" t="str">
        <x:f>IF(A21="","",IF(OR(B21="",C21="",D21="",E21="",F21="",G21="",H21="",I21="",J21="",K21="",L21="",M21="",N21=""),"Incomplete",IF(OR(E21="Evidence required",G21="Evidence required",H21="Evidence required",I21="Evidence required"),"Evidence required",IF(OR(M21="Proposed",M21="Bridging",M21="Quarantined",N21&lt;&gt;"Reviewed"),"Review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7" t="str">
        <x:f>IF(A22="","",IF(OR(B22="",C22="",D22="",E22="",F22="",G22="",H22="",I22="",J22="",K22="",L22="",M22="",N22=""),"Incomplete",IF(OR(E22="Evidence required",G22="Evidence required",H22="Evidence required",I22="Evidence required"),"Evidence required",IF(OR(M22="Proposed",M22="Bridging",M22="Quarantined",N22&lt;&gt;"Reviewed"),"Review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7" t="str">
        <x:f>IF(A23="","",IF(OR(B23="",C23="",D23="",E23="",F23="",G23="",H23="",I23="",J23="",K23="",L23="",M23="",N23=""),"Incomplete",IF(OR(E23="Evidence required",G23="Evidence required",H23="Evidence required",I23="Evidence required"),"Evidence required",IF(OR(M23="Proposed",M23="Bridging",M23="Quarantined",N23&lt;&gt;"Reviewed"),"Review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7" t="str">
        <x:f>IF(A24="","",IF(OR(B24="",C24="",D24="",E24="",F24="",G24="",H24="",I24="",J24="",K24="",L24="",M24="",N24=""),"Incomplete",IF(OR(E24="Evidence required",G24="Evidence required",H24="Evidence required",I24="Evidence required"),"Evidence required",IF(OR(M24="Proposed",M24="Bridging",M24="Quarantined",N24&lt;&gt;"Reviewed"),"Review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7" t="str">
        <x:f>IF(A25="","",IF(OR(B25="",C25="",D25="",E25="",F25="",G25="",H25="",I25="",J25="",K25="",L25="",M25="",N25=""),"Incomplete",IF(OR(E25="Evidence required",G25="Evidence required",H25="Evidence required",I25="Evidence required"),"Evidence required",IF(OR(M25="Proposed",M25="Bridging",M25="Quarantined",N25&lt;&gt;"Reviewed"),"Review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1"/>
      <x:c r="O26" s="67" t="str">
        <x:f>IF(A26="","",IF(OR(B26="",C26="",D26="",E26="",F26="",G26="",H26="",I26="",J26="",K26="",L26="",M26="",N26=""),"Incomplete",IF(OR(E26="Evidence required",G26="Evidence required",H26="Evidence required",I26="Evidence required"),"Evidence required",IF(OR(M26="Proposed",M26="Bridging",M26="Quarantined",N26&lt;&gt;"Reviewed"),"Review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1"/>
      <x:c r="O27" s="67" t="str">
        <x:f>IF(A27="","",IF(OR(B27="",C27="",D27="",E27="",F27="",G27="",H27="",I27="",J27="",K27="",L27="",M27="",N27=""),"Incomplete",IF(OR(E27="Evidence required",G27="Evidence required",H27="Evidence required",I27="Evidence required"),"Evidence required",IF(OR(M27="Proposed",M27="Bridging",M27="Quarantined",N27&lt;&gt;"Reviewed"),"Review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1"/>
      <x:c r="N28" s="61"/>
      <x:c r="O28" s="67" t="str">
        <x:f>IF(A28="","",IF(OR(B28="",C28="",D28="",E28="",F28="",G28="",H28="",I28="",J28="",K28="",L28="",M28="",N28=""),"Incomplete",IF(OR(E28="Evidence required",G28="Evidence required",H28="Evidence required",I28="Evidence required"),"Evidence required",IF(OR(M28="Proposed",M28="Bridging",M28="Quarantined",N28&lt;&gt;"Reviewed"),"Review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1"/>
      <x:c r="O29" s="67" t="str">
        <x:f>IF(A29="","",IF(OR(B29="",C29="",D29="",E29="",F29="",G29="",H29="",I29="",J29="",K29="",L29="",M29="",N29=""),"Incomplete",IF(OR(E29="Evidence required",G29="Evidence required",H29="Evidence required",I29="Evidence required"),"Evidence required",IF(OR(M29="Proposed",M29="Bridging",M29="Quarantined",N29&lt;&gt;"Reviewed"),"Review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1"/>
      <x:c r="O30" s="67" t="str">
        <x:f>IF(A30="","",IF(OR(B30="",C30="",D30="",E30="",F30="",G30="",H30="",I30="",J30="",K30="",L30="",M30="",N30=""),"Incomplete",IF(OR(E30="Evidence required",G30="Evidence required",H30="Evidence required",I30="Evidence required"),"Evidence required",IF(OR(M30="Proposed",M30="Bridging",M30="Quarantined",N30&lt;&gt;"Reviewed"),"Review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7" t="str">
        <x:f>IF(A31="","",IF(OR(B31="",C31="",D31="",E31="",F31="",G31="",H31="",I31="",J31="",K31="",L31="",M31="",N31=""),"Incomplete",IF(OR(E31="Evidence required",G31="Evidence required",H31="Evidence required",I31="Evidence required"),"Evidence required",IF(OR(M31="Proposed",M31="Bridging",M31="Quarantined",N31&lt;&gt;"Reviewed"),"Review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7" t="str">
        <x:f>IF(A32="","",IF(OR(B32="",C32="",D32="",E32="",F32="",G32="",H32="",I32="",J32="",K32="",L32="",M32="",N32=""),"Incomplete",IF(OR(E32="Evidence required",G32="Evidence required",H32="Evidence required",I32="Evidence required"),"Evidence required",IF(OR(M32="Proposed",M32="Bridging",M32="Quarantined",N32&lt;&gt;"Reviewed"),"Review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7" t="str">
        <x:f>IF(A33="","",IF(OR(B33="",C33="",D33="",E33="",F33="",G33="",H33="",I33="",J33="",K33="",L33="",M33="",N33=""),"Incomplete",IF(OR(E33="Evidence required",G33="Evidence required",H33="Evidence required",I33="Evidence required"),"Evidence required",IF(OR(M33="Proposed",M33="Bridging",M33="Quarantined",N33&lt;&gt;"Reviewed"),"Review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1"/>
      <x:c r="O34" s="67" t="str">
        <x:f>IF(A34="","",IF(OR(B34="",C34="",D34="",E34="",F34="",G34="",H34="",I34="",J34="",K34="",L34="",M34="",N34=""),"Incomplete",IF(OR(E34="Evidence required",G34="Evidence required",H34="Evidence required",I34="Evidence required"),"Evidence required",IF(OR(M34="Proposed",M34="Bridging",M34="Quarantined",N34&lt;&gt;"Reviewed"),"Review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1"/>
      <x:c r="O35" s="67" t="str">
        <x:f>IF(A35="","",IF(OR(B35="",C35="",D35="",E35="",F35="",G35="",H35="",I35="",J35="",K35="",L35="",M35="",N35=""),"Incomplete",IF(OR(E35="Evidence required",G35="Evidence required",H35="Evidence required",I35="Evidence required"),"Evidence required",IF(OR(M35="Proposed",M35="Bridging",M35="Quarantined",N35&lt;&gt;"Reviewed"),"Review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1"/>
      <x:c r="O36" s="67" t="str">
        <x:f>IF(A36="","",IF(OR(B36="",C36="",D36="",E36="",F36="",G36="",H36="",I36="",J36="",K36="",L36="",M36="",N36=""),"Incomplete",IF(OR(E36="Evidence required",G36="Evidence required",H36="Evidence required",I36="Evidence required"),"Evidence required",IF(OR(M36="Proposed",M36="Bridging",M36="Quarantined",N36&lt;&gt;"Reviewed"),"Review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7" t="str">
        <x:f>IF(A37="","",IF(OR(B37="",C37="",D37="",E37="",F37="",G37="",H37="",I37="",J37="",K37="",L37="",M37="",N37=""),"Incomplete",IF(OR(E37="Evidence required",G37="Evidence required",H37="Evidence required",I37="Evidence required"),"Evidence required",IF(OR(M37="Proposed",M37="Bridging",M37="Quarantined",N37&lt;&gt;"Reviewed"),"Review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1"/>
      <x:c r="O38" s="67" t="str">
        <x:f>IF(A38="","",IF(OR(B38="",C38="",D38="",E38="",F38="",G38="",H38="",I38="",J38="",K38="",L38="",M38="",N38=""),"Incomplete",IF(OR(E38="Evidence required",G38="Evidence required",H38="Evidence required",I38="Evidence required"),"Evidence required",IF(OR(M38="Proposed",M38="Bridging",M38="Quarantined",N38&lt;&gt;"Reviewed"),"Review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67" t="str">
        <x:f>IF(A39="","",IF(OR(B39="",C39="",D39="",E39="",F39="",G39="",H39="",I39="",J39="",K39="",L39="",M39="",N39=""),"Incomplete",IF(OR(E39="Evidence required",G39="Evidence required",H39="Evidence required",I39="Evidence required"),"Evidence required",IF(OR(M39="Proposed",M39="Bridging",M39="Quarantined",N39&lt;&gt;"Reviewed"),"Review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7" t="str">
        <x:f>IF(A40="","",IF(OR(B40="",C40="",D40="",E40="",F40="",G40="",H40="",I40="",J40="",K40="",L40="",M40="",N40=""),"Incomplete",IF(OR(E40="Evidence required",G40="Evidence required",H40="Evidence required",I40="Evidence required"),"Evidence required",IF(OR(M40="Proposed",M40="Bridging",M40="Quarantined",N40&lt;&gt;"Reviewed"),"Review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7" t="str">
        <x:f>IF(A41="","",IF(OR(B41="",C41="",D41="",E41="",F41="",G41="",H41="",I41="",J41="",K41="",L41="",M41="",N41=""),"Incomplete",IF(OR(E41="Evidence required",G41="Evidence required",H41="Evidence required",I41="Evidence required"),"Evidence required",IF(OR(M41="Proposed",M41="Bridging",M41="Quarantined",N41&lt;&gt;"Reviewed"),"Review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7" t="str">
        <x:f>IF(A42="","",IF(OR(B42="",C42="",D42="",E42="",F42="",G42="",H42="",I42="",J42="",K42="",L42="",M42="",N42=""),"Incomplete",IF(OR(E42="Evidence required",G42="Evidence required",H42="Evidence required",I42="Evidence required"),"Evidence required",IF(OR(M42="Proposed",M42="Bridging",M42="Quarantined",N42&lt;&gt;"Reviewed"),"Review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7" t="str">
        <x:f>IF(A43="","",IF(OR(B43="",C43="",D43="",E43="",F43="",G43="",H43="",I43="",J43="",K43="",L43="",M43="",N43=""),"Incomplete",IF(OR(E43="Evidence required",G43="Evidence required",H43="Evidence required",I43="Evidence required"),"Evidence required",IF(OR(M43="Proposed",M43="Bridging",M43="Quarantined",N43&lt;&gt;"Reviewed"),"Review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7" t="str">
        <x:f>IF(A44="","",IF(OR(B44="",C44="",D44="",E44="",F44="",G44="",H44="",I44="",J44="",K44="",L44="",M44="",N44=""),"Incomplete",IF(OR(E44="Evidence required",G44="Evidence required",H44="Evidence required",I44="Evidence required"),"Evidence required",IF(OR(M44="Proposed",M44="Bridging",M44="Quarantined",N44&lt;&gt;"Reviewed"),"Review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7" t="str">
        <x:f>IF(A45="","",IF(OR(B45="",C45="",D45="",E45="",F45="",G45="",H45="",I45="",J45="",K45="",L45="",M45="",N45=""),"Incomplete",IF(OR(E45="Evidence required",G45="Evidence required",H45="Evidence required",I45="Evidence required"),"Evidence required",IF(OR(M45="Proposed",M45="Bridging",M45="Quarantined",N45&lt;&gt;"Reviewed"),"Review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7" t="str">
        <x:f>IF(A46="","",IF(OR(B46="",C46="",D46="",E46="",F46="",G46="",H46="",I46="",J46="",K46="",L46="",M46="",N46=""),"Incomplete",IF(OR(E46="Evidence required",G46="Evidence required",H46="Evidence required",I46="Evidence required"),"Evidence required",IF(OR(M46="Proposed",M46="Bridging",M46="Quarantined",N46&lt;&gt;"Reviewed"),"Review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7" t="str">
        <x:f>IF(A47="","",IF(OR(B47="",C47="",D47="",E47="",F47="",G47="",H47="",I47="",J47="",K47="",L47="",M47="",N47=""),"Incomplete",IF(OR(E47="Evidence required",G47="Evidence required",H47="Evidence required",I47="Evidence required"),"Evidence required",IF(OR(M47="Proposed",M47="Bridging",M47="Quarantined",N47&lt;&gt;"Reviewed"),"Review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7" t="str">
        <x:f>IF(A48="","",IF(OR(B48="",C48="",D48="",E48="",F48="",G48="",H48="",I48="",J48="",K48="",L48="",M48="",N48=""),"Incomplete",IF(OR(E48="Evidence required",G48="Evidence required",H48="Evidence required",I48="Evidence required"),"Evidence required",IF(OR(M48="Proposed",M48="Bridging",M48="Quarantined",N48&lt;&gt;"Reviewed"),"Review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7" t="str">
        <x:f>IF(A49="","",IF(OR(B49="",C49="",D49="",E49="",F49="",G49="",H49="",I49="",J49="",K49="",L49="",M49="",N49=""),"Incomplete",IF(OR(E49="Evidence required",G49="Evidence required",H49="Evidence required",I49="Evidence required"),"Evidence required",IF(OR(M49="Proposed",M49="Bridging",M49="Quarantined",N49&lt;&gt;"Reviewed"),"Review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7" t="str">
        <x:f>IF(A50="","",IF(OR(B50="",C50="",D50="",E50="",F50="",G50="",H50="",I50="",J50="",K50="",L50="",M50="",N50=""),"Incomplete",IF(OR(E50="Evidence required",G50="Evidence required",H50="Evidence required",I50="Evidence required"),"Evidence required",IF(OR(M50="Proposed",M50="Bridging",M50="Quarantined",N50&lt;&gt;"Reviewed"),"Review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7" t="str">
        <x:f>IF(A51="","",IF(OR(B51="",C51="",D51="",E51="",F51="",G51="",H51="",I51="",J51="",K51="",L51="",M51="",N51=""),"Incomplete",IF(OR(E51="Evidence required",G51="Evidence required",H51="Evidence required",I51="Evidence required"),"Evidence required",IF(OR(M51="Proposed",M51="Bridging",M51="Quarantined",N51&lt;&gt;"Reviewed"),"Review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7" t="str">
        <x:f>IF(A52="","",IF(OR(B52="",C52="",D52="",E52="",F52="",G52="",H52="",I52="",J52="",K52="",L52="",M52="",N52=""),"Incomplete",IF(OR(E52="Evidence required",G52="Evidence required",H52="Evidence required",I52="Evidence required"),"Evidence required",IF(OR(M52="Proposed",M52="Bridging",M52="Quarantined",N52&lt;&gt;"Reviewed"),"Review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7" t="str">
        <x:f>IF(A53="","",IF(OR(B53="",C53="",D53="",E53="",F53="",G53="",H53="",I53="",J53="",K53="",L53="",M53="",N53=""),"Incomplete",IF(OR(E53="Evidence required",G53="Evidence required",H53="Evidence required",I53="Evidence required"),"Evidence required",IF(OR(M53="Proposed",M53="Bridging",M53="Quarantined",N53&lt;&gt;"Reviewed"),"Review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7" t="str">
        <x:f>IF(A54="","",IF(OR(B54="",C54="",D54="",E54="",F54="",G54="",H54="",I54="",J54="",K54="",L54="",M54="",N54=""),"Incomplete",IF(OR(E54="Evidence required",G54="Evidence required",H54="Evidence required",I54="Evidence required"),"Evidence required",IF(OR(M54="Proposed",M54="Bridging",M54="Quarantined",N54&lt;&gt;"Reviewed"),"Review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7" t="str">
        <x:f>IF(A55="","",IF(OR(B55="",C55="",D55="",E55="",F55="",G55="",H55="",I55="",J55="",K55="",L55="",M55="",N55=""),"Incomplete",IF(OR(E55="Evidence required",G55="Evidence required",H55="Evidence required",I55="Evidence required"),"Evidence required",IF(OR(M55="Proposed",M55="Bridging",M55="Quarantined",N55&lt;&gt;"Reviewed"),"Review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7" t="str">
        <x:f>IF(A56="","",IF(OR(B56="",C56="",D56="",E56="",F56="",G56="",H56="",I56="",J56="",K56="",L56="",M56="",N56=""),"Incomplete",IF(OR(E56="Evidence required",G56="Evidence required",H56="Evidence required",I56="Evidence required"),"Evidence required",IF(OR(M56="Proposed",M56="Bridging",M56="Quarantined",N56&lt;&gt;"Reviewed"),"Review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7" t="str">
        <x:f>IF(A57="","",IF(OR(B57="",C57="",D57="",E57="",F57="",G57="",H57="",I57="",J57="",K57="",L57="",M57="",N57=""),"Incomplete",IF(OR(E57="Evidence required",G57="Evidence required",H57="Evidence required",I57="Evidence required"),"Evidence required",IF(OR(M57="Proposed",M57="Bridging",M57="Quarantined",N57&lt;&gt;"Reviewed"),"Review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7" t="str">
        <x:f>IF(A58="","",IF(OR(B58="",C58="",D58="",E58="",F58="",G58="",H58="",I58="",J58="",K58="",L58="",M58="",N58=""),"Incomplete",IF(OR(E58="Evidence required",G58="Evidence required",H58="Evidence required",I58="Evidence required"),"Evidence required",IF(OR(M58="Proposed",M58="Bridging",M58="Quarantined",N58&lt;&gt;"Reviewed"),"Review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7" t="str">
        <x:f>IF(A59="","",IF(OR(B59="",C59="",D59="",E59="",F59="",G59="",H59="",I59="",J59="",K59="",L59="",M59="",N59=""),"Incomplete",IF(OR(E59="Evidence required",G59="Evidence required",H59="Evidence required",I59="Evidence required"),"Evidence required",IF(OR(M59="Proposed",M59="Bridging",M59="Quarantined",N59&lt;&gt;"Reviewed"),"Review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7" t="str">
        <x:f>IF(A60="","",IF(OR(B60="",C60="",D60="",E60="",F60="",G60="",H60="",I60="",J60="",K60="",L60="",M60="",N60=""),"Incomplete",IF(OR(E60="Evidence required",G60="Evidence required",H60="Evidence required",I60="Evidence required"),"Evidence required",IF(OR(M60="Proposed",M60="Bridging",M60="Quarantined",N60&lt;&gt;"Reviewed"),"Review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7" t="str">
        <x:f>IF(A61="","",IF(OR(B61="",C61="",D61="",E61="",F61="",G61="",H61="",I61="",J61="",K61="",L61="",M61="",N61=""),"Incomplete",IF(OR(E61="Evidence required",G61="Evidence required",H61="Evidence required",I61="Evidence required"),"Evidence required",IF(OR(M61="Proposed",M61="Bridging",M61="Quarantined",N61&lt;&gt;"Reviewed"),"Review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7" t="str">
        <x:f>IF(A62="","",IF(OR(B62="",C62="",D62="",E62="",F62="",G62="",H62="",I62="",J62="",K62="",L62="",M62="",N62=""),"Incomplete",IF(OR(E62="Evidence required",G62="Evidence required",H62="Evidence required",I62="Evidence required"),"Evidence required",IF(OR(M62="Proposed",M62="Bridging",M62="Quarantined",N62&lt;&gt;"Reviewed"),"Review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7" t="str">
        <x:f>IF(A63="","",IF(OR(B63="",C63="",D63="",E63="",F63="",G63="",H63="",I63="",J63="",K63="",L63="",M63="",N63=""),"Incomplete",IF(OR(E63="Evidence required",G63="Evidence required",H63="Evidence required",I63="Evidence required"),"Evidence required",IF(OR(M63="Proposed",M63="Bridging",M63="Quarantined",N63&lt;&gt;"Reviewed"),"Review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7" t="str">
        <x:f>IF(A64="","",IF(OR(B64="",C64="",D64="",E64="",F64="",G64="",H64="",I64="",J64="",K64="",L64="",M64="",N64=""),"Incomplete",IF(OR(E64="Evidence required",G64="Evidence required",H64="Evidence required",I64="Evidence required"),"Evidence required",IF(OR(M64="Proposed",M64="Bridging",M64="Quarantined",N64&lt;&gt;"Reviewed"),"Review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7" t="str">
        <x:f>IF(A65="","",IF(OR(B65="",C65="",D65="",E65="",F65="",G65="",H65="",I65="",J65="",K65="",L65="",M65="",N65=""),"Incomplete",IF(OR(E65="Evidence required",G65="Evidence required",H65="Evidence required",I65="Evidence required"),"Evidence required",IF(OR(M65="Proposed",M65="Bridging",M65="Quarantined",N65&lt;&gt;"Reviewed"),"Review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7" t="str">
        <x:f>IF(A66="","",IF(OR(B66="",C66="",D66="",E66="",F66="",G66="",H66="",I66="",J66="",K66="",L66="",M66="",N66=""),"Incomplete",IF(OR(E66="Evidence required",G66="Evidence required",H66="Evidence required",I66="Evidence required"),"Evidence required",IF(OR(M66="Proposed",M66="Bridging",M66="Quarantined",N66&lt;&gt;"Reviewed"),"Review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7" t="str">
        <x:f>IF(A67="","",IF(OR(B67="",C67="",D67="",E67="",F67="",G67="",H67="",I67="",J67="",K67="",L67="",M67="",N67=""),"Incomplete",IF(OR(E67="Evidence required",G67="Evidence required",H67="Evidence required",I67="Evidence required"),"Evidence required",IF(OR(M67="Proposed",M67="Bridging",M67="Quarantined",N67&lt;&gt;"Reviewed"),"Review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7" t="str">
        <x:f>IF(A68="","",IF(OR(B68="",C68="",D68="",E68="",F68="",G68="",H68="",I68="",J68="",K68="",L68="",M68="",N68=""),"Incomplete",IF(OR(E68="Evidence required",G68="Evidence required",H68="Evidence required",I68="Evidence required"),"Evidence required",IF(OR(M68="Proposed",M68="Bridging",M68="Quarantined",N68&lt;&gt;"Reviewed"),"Review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7" t="str">
        <x:f>IF(A69="","",IF(OR(B69="",C69="",D69="",E69="",F69="",G69="",H69="",I69="",J69="",K69="",L69="",M69="",N69=""),"Incomplete",IF(OR(E69="Evidence required",G69="Evidence required",H69="Evidence required",I69="Evidence required"),"Evidence required",IF(OR(M69="Proposed",M69="Bridging",M69="Quarantined",N69&lt;&gt;"Reviewed"),"Review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7" t="str">
        <x:f>IF(A70="","",IF(OR(B70="",C70="",D70="",E70="",F70="",G70="",H70="",I70="",J70="",K70="",L70="",M70="",N70=""),"Incomplete",IF(OR(E70="Evidence required",G70="Evidence required",H70="Evidence required",I70="Evidence required"),"Evidence required",IF(OR(M70="Proposed",M70="Bridging",M70="Quarantined",N70&lt;&gt;"Reviewed"),"Review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7" t="str">
        <x:f>IF(A71="","",IF(OR(B71="",C71="",D71="",E71="",F71="",G71="",H71="",I71="",J71="",K71="",L71="",M71="",N71=""),"Incomplete",IF(OR(E71="Evidence required",G71="Evidence required",H71="Evidence required",I71="Evidence required"),"Evidence required",IF(OR(M71="Proposed",M71="Bridging",M71="Quarantined",N71&lt;&gt;"Reviewed"),"Review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7" t="str">
        <x:f>IF(A72="","",IF(OR(B72="",C72="",D72="",E72="",F72="",G72="",H72="",I72="",J72="",K72="",L72="",M72="",N72=""),"Incomplete",IF(OR(E72="Evidence required",G72="Evidence required",H72="Evidence required",I72="Evidence required"),"Evidence required",IF(OR(M72="Proposed",M72="Bridging",M72="Quarantined",N72&lt;&gt;"Reviewed"),"Review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7" t="str">
        <x:f>IF(A73="","",IF(OR(B73="",C73="",D73="",E73="",F73="",G73="",H73="",I73="",J73="",K73="",L73="",M73="",N73=""),"Incomplete",IF(OR(E73="Evidence required",G73="Evidence required",H73="Evidence required",I73="Evidence required"),"Evidence required",IF(OR(M73="Proposed",M73="Bridging",M73="Quarantined",N73&lt;&gt;"Reviewed"),"Review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7" t="str">
        <x:f>IF(A74="","",IF(OR(B74="",C74="",D74="",E74="",F74="",G74="",H74="",I74="",J74="",K74="",L74="",M74="",N74=""),"Incomplete",IF(OR(E74="Evidence required",G74="Evidence required",H74="Evidence required",I74="Evidence required"),"Evidence required",IF(OR(M74="Proposed",M74="Bridging",M74="Quarantined",N74&lt;&gt;"Reviewed"),"Review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7" t="str">
        <x:f>IF(A75="","",IF(OR(B75="",C75="",D75="",E75="",F75="",G75="",H75="",I75="",J75="",K75="",L75="",M75="",N75=""),"Incomplete",IF(OR(E75="Evidence required",G75="Evidence required",H75="Evidence required",I75="Evidence required"),"Evidence required",IF(OR(M75="Proposed",M75="Bridging",M75="Quarantined",N75&lt;&gt;"Reviewed"),"Review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7" t="str">
        <x:f>IF(A76="","",IF(OR(B76="",C76="",D76="",E76="",F76="",G76="",H76="",I76="",J76="",K76="",L76="",M76="",N76=""),"Incomplete",IF(OR(E76="Evidence required",G76="Evidence required",H76="Evidence required",I76="Evidence required"),"Evidence required",IF(OR(M76="Proposed",M76="Bridging",M76="Quarantined",N76&lt;&gt;"Reviewed"),"Review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7" t="str">
        <x:f>IF(A77="","",IF(OR(B77="",C77="",D77="",E77="",F77="",G77="",H77="",I77="",J77="",K77="",L77="",M77="",N77=""),"Incomplete",IF(OR(E77="Evidence required",G77="Evidence required",H77="Evidence required",I77="Evidence required"),"Evidence required",IF(OR(M77="Proposed",M77="Bridging",M77="Quarantined",N77&lt;&gt;"Reviewed"),"Review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7" t="str">
        <x:f>IF(A78="","",IF(OR(B78="",C78="",D78="",E78="",F78="",G78="",H78="",I78="",J78="",K78="",L78="",M78="",N78=""),"Incomplete",IF(OR(E78="Evidence required",G78="Evidence required",H78="Evidence required",I78="Evidence required"),"Evidence required",IF(OR(M78="Proposed",M78="Bridging",M78="Quarantined",N78&lt;&gt;"Reviewed"),"Review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7" t="str">
        <x:f>IF(A79="","",IF(OR(B79="",C79="",D79="",E79="",F79="",G79="",H79="",I79="",J79="",K79="",L79="",M79="",N79=""),"Incomplete",IF(OR(E79="Evidence required",G79="Evidence required",H79="Evidence required",I79="Evidence required"),"Evidence required",IF(OR(M79="Proposed",M79="Bridging",M79="Quarantined",N79&lt;&gt;"Reviewed"),"Review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7" t="str">
        <x:f>IF(A80="","",IF(OR(B80="",C80="",D80="",E80="",F80="",G80="",H80="",I80="",J80="",K80="",L80="",M80="",N80=""),"Incomplete",IF(OR(E80="Evidence required",G80="Evidence required",H80="Evidence required",I80="Evidence required"),"Evidence required",IF(OR(M80="Proposed",M80="Bridging",M80="Quarantined",N80&lt;&gt;"Reviewed"),"Review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7" t="str">
        <x:f>IF(A81="","",IF(OR(B81="",C81="",D81="",E81="",F81="",G81="",H81="",I81="",J81="",K81="",L81="",M81="",N81=""),"Incomplete",IF(OR(E81="Evidence required",G81="Evidence required",H81="Evidence required",I81="Evidence required"),"Evidence required",IF(OR(M81="Proposed",M81="Bridging",M81="Quarantined",N81&lt;&gt;"Reviewed"),"Review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7" t="str">
        <x:f>IF(A82="","",IF(OR(B82="",C82="",D82="",E82="",F82="",G82="",H82="",I82="",J82="",K82="",L82="",M82="",N82=""),"Incomplete",IF(OR(E82="Evidence required",G82="Evidence required",H82="Evidence required",I82="Evidence required"),"Evidence required",IF(OR(M82="Proposed",M82="Bridging",M82="Quarantined",N82&lt;&gt;"Reviewed"),"Review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7" t="str">
        <x:f>IF(A83="","",IF(OR(B83="",C83="",D83="",E83="",F83="",G83="",H83="",I83="",J83="",K83="",L83="",M83="",N83=""),"Incomplete",IF(OR(E83="Evidence required",G83="Evidence required",H83="Evidence required",I83="Evidence required"),"Evidence required",IF(OR(M83="Proposed",M83="Bridging",M83="Quarantined",N83&lt;&gt;"Reviewed"),"Review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7" t="str">
        <x:f>IF(A84="","",IF(OR(B84="",C84="",D84="",E84="",F84="",G84="",H84="",I84="",J84="",K84="",L84="",M84="",N84=""),"Incomplete",IF(OR(E84="Evidence required",G84="Evidence required",H84="Evidence required",I84="Evidence required"),"Evidence required",IF(OR(M84="Proposed",M84="Bridging",M84="Quarantined",N84&lt;&gt;"Reviewed"),"Review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7" t="str">
        <x:f>IF(A85="","",IF(OR(B85="",C85="",D85="",E85="",F85="",G85="",H85="",I85="",J85="",K85="",L85="",M85="",N85=""),"Incomplete",IF(OR(E85="Evidence required",G85="Evidence required",H85="Evidence required",I85="Evidence required"),"Evidence required",IF(OR(M85="Proposed",M85="Bridging",M85="Quarantined",N85&lt;&gt;"Reviewed"),"Review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7" t="str">
        <x:f>IF(A86="","",IF(OR(B86="",C86="",D86="",E86="",F86="",G86="",H86="",I86="",J86="",K86="",L86="",M86="",N86=""),"Incomplete",IF(OR(E86="Evidence required",G86="Evidence required",H86="Evidence required",I86="Evidence required"),"Evidence required",IF(OR(M86="Proposed",M86="Bridging",M86="Quarantined",N86&lt;&gt;"Reviewed"),"Review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7" t="str">
        <x:f>IF(A87="","",IF(OR(B87="",C87="",D87="",E87="",F87="",G87="",H87="",I87="",J87="",K87="",L87="",M87="",N87=""),"Incomplete",IF(OR(E87="Evidence required",G87="Evidence required",H87="Evidence required",I87="Evidence required"),"Evidence required",IF(OR(M87="Proposed",M87="Bridging",M87="Quarantined",N87&lt;&gt;"Reviewed"),"Review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7" t="str">
        <x:f>IF(A88="","",IF(OR(B88="",C88="",D88="",E88="",F88="",G88="",H88="",I88="",J88="",K88="",L88="",M88="",N88=""),"Incomplete",IF(OR(E88="Evidence required",G88="Evidence required",H88="Evidence required",I88="Evidence required"),"Evidence required",IF(OR(M88="Proposed",M88="Bridging",M88="Quarantined",N88&lt;&gt;"Reviewed"),"Review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7" t="str">
        <x:f>IF(A89="","",IF(OR(B89="",C89="",D89="",E89="",F89="",G89="",H89="",I89="",J89="",K89="",L89="",M89="",N89=""),"Incomplete",IF(OR(E89="Evidence required",G89="Evidence required",H89="Evidence required",I89="Evidence required"),"Evidence required",IF(OR(M89="Proposed",M89="Bridging",M89="Quarantined",N89&lt;&gt;"Reviewed"),"Review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7" t="str">
        <x:f>IF(A90="","",IF(OR(B90="",C90="",D90="",E90="",F90="",G90="",H90="",I90="",J90="",K90="",L90="",M90="",N90=""),"Incomplete",IF(OR(E90="Evidence required",G90="Evidence required",H90="Evidence required",I90="Evidence required"),"Evidence required",IF(OR(M90="Proposed",M90="Bridging",M90="Quarantined",N90&lt;&gt;"Reviewed"),"Review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7" t="str">
        <x:f>IF(A91="","",IF(OR(B91="",C91="",D91="",E91="",F91="",G91="",H91="",I91="",J91="",K91="",L91="",M91="",N91=""),"Incomplete",IF(OR(E91="Evidence required",G91="Evidence required",H91="Evidence required",I91="Evidence required"),"Evidence required",IF(OR(M91="Proposed",M91="Bridging",M91="Quarantined",N91&lt;&gt;"Reviewed"),"Review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7" t="str">
        <x:f>IF(A92="","",IF(OR(B92="",C92="",D92="",E92="",F92="",G92="",H92="",I92="",J92="",K92="",L92="",M92="",N92=""),"Incomplete",IF(OR(E92="Evidence required",G92="Evidence required",H92="Evidence required",I92="Evidence required"),"Evidence required",IF(OR(M92="Proposed",M92="Bridging",M92="Quarantined",N92&lt;&gt;"Reviewed"),"Review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7" t="str">
        <x:f>IF(A93="","",IF(OR(B93="",C93="",D93="",E93="",F93="",G93="",H93="",I93="",J93="",K93="",L93="",M93="",N93=""),"Incomplete",IF(OR(E93="Evidence required",G93="Evidence required",H93="Evidence required",I93="Evidence required"),"Evidence required",IF(OR(M93="Proposed",M93="Bridging",M93="Quarantined",N93&lt;&gt;"Reviewed"),"Review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7" t="str">
        <x:f>IF(A94="","",IF(OR(B94="",C94="",D94="",E94="",F94="",G94="",H94="",I94="",J94="",K94="",L94="",M94="",N94=""),"Incomplete",IF(OR(E94="Evidence required",G94="Evidence required",H94="Evidence required",I94="Evidence required"),"Evidence required",IF(OR(M94="Proposed",M94="Bridging",M94="Quarantined",N94&lt;&gt;"Reviewed"),"Review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7" t="str">
        <x:f>IF(A95="","",IF(OR(B95="",C95="",D95="",E95="",F95="",G95="",H95="",I95="",J95="",K95="",L95="",M95="",N95=""),"Incomplete",IF(OR(E95="Evidence required",G95="Evidence required",H95="Evidence required",I95="Evidence required"),"Evidence required",IF(OR(M95="Proposed",M95="Bridging",M95="Quarantined",N95&lt;&gt;"Reviewed"),"Review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7" t="str">
        <x:f>IF(A96="","",IF(OR(B96="",C96="",D96="",E96="",F96="",G96="",H96="",I96="",J96="",K96="",L96="",M96="",N96=""),"Incomplete",IF(OR(E96="Evidence required",G96="Evidence required",H96="Evidence required",I96="Evidence required"),"Evidence required",IF(OR(M96="Proposed",M96="Bridging",M96="Quarantined",N96&lt;&gt;"Reviewed"),"Review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7" t="str">
        <x:f>IF(A97="","",IF(OR(B97="",C97="",D97="",E97="",F97="",G97="",H97="",I97="",J97="",K97="",L97="",M97="",N97=""),"Incomplete",IF(OR(E97="Evidence required",G97="Evidence required",H97="Evidence required",I97="Evidence required"),"Evidence required",IF(OR(M97="Proposed",M97="Bridging",M97="Quarantined",N97&lt;&gt;"Reviewed"),"Review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7" t="str">
        <x:f>IF(A98="","",IF(OR(B98="",C98="",D98="",E98="",F98="",G98="",H98="",I98="",J98="",K98="",L98="",M98="",N98=""),"Incomplete",IF(OR(E98="Evidence required",G98="Evidence required",H98="Evidence required",I98="Evidence required"),"Evidence required",IF(OR(M98="Proposed",M98="Bridging",M98="Quarantined",N98&lt;&gt;"Reviewed"),"Review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7" t="str">
        <x:f>IF(A99="","",IF(OR(B99="",C99="",D99="",E99="",F99="",G99="",H99="",I99="",J99="",K99="",L99="",M99="",N99=""),"Incomplete",IF(OR(E99="Evidence required",G99="Evidence required",H99="Evidence required",I99="Evidence required"),"Evidence required",IF(OR(M99="Proposed",M99="Bridging",M99="Quarantined",N99&lt;&gt;"Reviewed"),"Review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7" t="str">
        <x:f>IF(A100="","",IF(OR(B100="",C100="",D100="",E100="",F100="",G100="",H100="",I100="",J100="",K100="",L100="",M100="",N100=""),"Incomplete",IF(OR(E100="Evidence required",G100="Evidence required",H100="Evidence required",I100="Evidence required"),"Evidence required",IF(OR(M100="Proposed",M100="Bridging",M100="Quarantined",N100&lt;&gt;"Reviewed"),"Review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7" t="str">
        <x:f>IF(A101="","",IF(OR(B101="",C101="",D101="",E101="",F101="",G101="",H101="",I101="",J101="",K101="",L101="",M101="",N101=""),"Incomplete",IF(OR(E101="Evidence required",G101="Evidence required",H101="Evidence required",I101="Evidence required"),"Evidence required",IF(OR(M101="Proposed",M101="Bridging",M101="Quarantined",N101&lt;&gt;"Reviewed"),"Review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7" t="str">
        <x:f>IF(A102="","",IF(OR(B102="",C102="",D102="",E102="",F102="",G102="",H102="",I102="",J102="",K102="",L102="",M102="",N102=""),"Incomplete",IF(OR(E102="Evidence required",G102="Evidence required",H102="Evidence required",I102="Evidence required"),"Evidence required",IF(OR(M102="Proposed",M102="Bridging",M102="Quarantined",N102&lt;&gt;"Reviewed"),"Review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7" t="str">
        <x:f>IF(A103="","",IF(OR(B103="",C103="",D103="",E103="",F103="",G103="",H103="",I103="",J103="",K103="",L103="",M103="",N103=""),"Incomplete",IF(OR(E103="Evidence required",G103="Evidence required",H103="Evidence required",I103="Evidence required"),"Evidence required",IF(OR(M103="Proposed",M103="Bridging",M103="Quarantined",N103&lt;&gt;"Reviewed"),"Review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7" t="str">
        <x:f>IF(A104="","",IF(OR(B104="",C104="",D104="",E104="",F104="",G104="",H104="",I104="",J104="",K104="",L104="",M104="",N104=""),"Incomplete",IF(OR(E104="Evidence required",G104="Evidence required",H104="Evidence required",I104="Evidence required"),"Evidence required",IF(OR(M104="Proposed",M104="Bridging",M104="Quarantined",N104&lt;&gt;"Reviewed"),"Review required","Ready for qualified review"))))</x:f>
      </x:c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8" t="str">
        <x:f>IF(A105="","",IF(OR(B105="",C105="",D105="",E105="",F105="",G105="",H105="",I105="",J105="",K105="",L105="",M105="",N105=""),"Incomplete",IF(OR(E105="Evidence required",G105="Evidence required",H105="Evidence required",I105="Evidence required"),"Evidence required",IF(OR(M105="Proposed",M105="Bridging",M105="Quarantined",N105&lt;&gt;"Reviewed"),"Review required","Ready for qualified review"))))</x:f>
      </x:c>
    </x:row>
  </x:sheetData>
  <x:mergeCells>
    <x:mergeCell ref="A1:O1"/>
    <x:mergeCell ref="A2:O2"/>
  </x:mergeCells>
  <x:conditionalFormatting sqref="O6:O105">
    <x:cfRule type="containsText" dxfId="35" priority="1" operator="containsText" text="Incomplete"/>
    <x:cfRule type="containsText" dxfId="36" priority="2" operator="containsText" text="Evidence required"/>
    <x:cfRule type="containsText" dxfId="37" priority="3" operator="containsText" text="Review required"/>
    <x:cfRule type="containsText" dxfId="38" priority="4" operator="containsText" text="Open"/>
    <x:cfRule type="containsText" dxfId="39" priority="5" operator="containsText" text="Overdue"/>
    <x:cfRule type="containsText" dxfId="40" priority="6" operator="containsText" text="Ready"/>
    <x:cfRule type="containsText" dxfId="41" priority="7" operator="containsText" text="Closed"/>
  </x:conditionalFormatting>
  <x:dataValidations count="3">
    <x:dataValidation type="list" sqref="C6:C105">
      <x:formula1>"International / national reference,In-house primary reference,In-house working reference,System suitability control,Critical reagent,Cell system,Calibration model,Other"</x:formula1>
    </x:dataValidation>
    <x:dataValidation type="list" sqref="M6:M105">
      <x:formula1>"Proposed,Active,Bridging,Quarantined,Retired"</x:formula1>
    </x:dataValidation>
    <x:dataValidation type="list" sqref="N6:N105">
      <x:formula1>"Not started,Draft,In review,Reviewed"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34" hidden="0" customWidth="1"/>
    <x:col min="4" max="4" width="37" hidden="0" customWidth="1"/>
    <x:col min="5" max="5" width="39" hidden="0" customWidth="1"/>
    <x:col min="6" max="6" width="34" hidden="0" customWidth="1"/>
    <x:col min="7" max="7" width="40" hidden="0" customWidth="1"/>
    <x:col min="8" max="8" width="34" hidden="0" customWidth="1"/>
    <x:col min="9" max="9" width="19" hidden="0" customWidth="1"/>
    <x:col min="10" max="10" width="35" hidden="0" customWidth="1"/>
    <x:col min="11" max="11" width="26" hidden="0" customWidth="1"/>
    <x:col min="12" max="12" width="18" hidden="0" customWidth="1"/>
    <x:col min="13" max="13" width="17" hidden="0" customWidth="1"/>
    <x:col min="14" max="14" width="22" hidden="0" customWidth="1"/>
  </x:cols>
  <x:sheetData>
    <x:row r="1" ht="28" customHeight="1">
      <x:c r="A1" s="3" t="str">
        <x:v>Lifecycle Changes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Assess product, process, procedure, site, instrument, software, reference, reagent, specification, and filing changes as distinct evidence questions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5" ht="38" customHeight="1">
      <x:c r="A5" s="47" t="str">
        <x:v>Change ID</x:v>
      </x:c>
      <x:c r="B5" s="48" t="str">
        <x:v>Change type</x:v>
      </x:c>
      <x:c r="C5" s="48" t="str">
        <x:v>Defined scope</x:v>
      </x:c>
      <x:c r="D5" s="48" t="str">
        <x:v>Affected attribute / method / reference / basis IDs</x:v>
      </x:c>
      <x:c r="E5" s="48" t="str">
        <x:v>Risk / competing hypothesis</x:v>
      </x:c>
      <x:c r="F5" s="48" t="str">
        <x:v>Representative samples / matrix</x:v>
      </x:c>
      <x:c r="G5" s="48" t="str">
        <x:v>Bridging / validation / transfer plan</x:v>
      </x:c>
      <x:c r="H5" s="48" t="str">
        <x:v>Monitoring / commitments</x:v>
      </x:c>
      <x:c r="I5" s="48" t="str">
        <x:v>Evidence IDs</x:v>
      </x:c>
      <x:c r="J5" s="48" t="str">
        <x:v>Quality / regulatory impact</x:v>
      </x:c>
      <x:c r="K5" s="48" t="str">
        <x:v>Decision owner</x:v>
      </x:c>
      <x:c r="L5" s="48" t="str">
        <x:v>Target decision date</x:v>
      </x:c>
      <x:c r="M5" s="48" t="str">
        <x:v>Review status</x:v>
      </x:c>
      <x:c r="N5" s="49" t="str">
        <x:v>Attention</x:v>
      </x:c>
    </x:row>
    <x:row r="6">
      <x:c r="A6" s="60" t="str">
        <x:v>CHG-001</x:v>
      </x:c>
      <x:c r="B6" s="60" t="str">
        <x:v>Product / process</x:v>
      </x:c>
      <x:c r="C6" s="60" t="str">
        <x:v>Fictional polishing-resin supplier change</x:v>
      </x:c>
      <x:c r="D6" s="60" t="str">
        <x:v>ATT-001; ATT-002; ATT-003; ATT-005 | MTH-001; MTH-002; MTH-003; MTH-005; MTH-007 | BAS-001; BAS-003; BAS-004</x:v>
      </x:c>
      <x:c r="E6" s="60" t="str">
        <x:v>Product/impurity shift, method response, normal variability, and unrelated concurrent factors remain competing explanations.</x:v>
      </x:c>
      <x:c r="F6" s="60" t="str">
        <x:v>Representative pre/post-change DS and DP plus development, stability, and reference materials</x:v>
      </x:c>
      <x:c r="G6" s="60" t="str">
        <x:v>Risk-based comparability and orthogonal characterization plan under qualified review</x:v>
      </x:c>
      <x:c r="H6" s="60" t="str">
        <x:v>Selected process, release, characterization, stability, and continued-verification commitments</x:v>
      </x:c>
      <x:c r="I6" s="60" t="str">
        <x:v>EVD-004; EVD-005; EVD-006; EVD-009</x:v>
      </x:c>
      <x:c r="J6" s="60" t="str">
        <x:v>Comparability, validation, specification, filing, and implementation impact unresolved</x:v>
      </x:c>
      <x:c r="K6" s="60" t="str">
        <x:v>Integrated change owner / Quality / Regulatory CMC</x:v>
      </x:c>
      <x:c r="L6" s="69" t="n">
        <x:v>46295</x:v>
      </x:c>
      <x:c r="M6" s="60" t="str">
        <x:v>In review</x:v>
      </x:c>
      <x:c r="N6" s="66" t="str">
        <x:f>IF(A6="","",IF(OR(B6="",C6="",D6="",E6="",F6="",G6="",H6="",I6="",J6="",K6="",L6="",M6=""),"Incomplete",IF(OR(F6="Evidence required",G6="Evidence required",J6="Evidence required"),"Evidence required",IF(M6&lt;&gt;"Reviewed","Review required","Ready for qualified review"))))</x:f>
        <x:v>Review required</x:v>
      </x:c>
    </x:row>
    <x:row r="7">
      <x:c r="A7" s="61" t="str">
        <x:v>CHG-002</x:v>
      </x:c>
      <x:c r="B7" s="61" t="str">
        <x:v>Reference material</x:v>
      </x:c>
      <x:c r="C7" s="61" t="str">
        <x:v>Transition from fictional PRS-01 to proposed PRS-02</x:v>
      </x:c>
      <x:c r="D7" s="61" t="str">
        <x:v>REF-001; REF-002; REF-003 | MTH-001; MTH-002; MTH-003; MTH-004; MTH-005; MTH-007 | BAS-001; BAS-002; BAS-003</x:v>
      </x:c>
      <x:c r="E7" s="61" t="str">
        <x:v>Assigned properties, response, commutability within intended use, stability, and transition effects require separation from product change.</x:v>
      </x:c>
      <x:c r="F7" s="61" t="str">
        <x:v>Representative qualification, bridge, stability, and routine samples across intended procedures</x:v>
      </x:c>
      <x:c r="G7" s="61" t="str">
        <x:v>Prospective use-specific bridge, assigned-property review, and transition controls</x:v>
      </x:c>
      <x:c r="H7" s="61" t="str">
        <x:v>Parallel trend period, inventory/retirement controls, and lifecycle monitoring</x:v>
      </x:c>
      <x:c r="I7" s="61" t="str">
        <x:v>EVD-001; EVD-002; EVD-004; EVD-007; EVD-010</x:v>
      </x:c>
      <x:c r="J7" s="61" t="str">
        <x:v>Quality, specification, validation, data continuity, and filing impact unresolved</x:v>
      </x:c>
      <x:c r="K7" s="61" t="str">
        <x:v>Reference owner / Product quality / Quality / Regulatory CMC</x:v>
      </x:c>
      <x:c r="L7" s="70" t="n">
        <x:v>46285</x:v>
      </x:c>
      <x:c r="M7" s="61" t="str">
        <x:v>In review</x:v>
      </x:c>
      <x:c r="N7" s="67" t="str">
        <x:f>IF(A7="","",IF(OR(B7="",C7="",D7="",E7="",F7="",G7="",H7="",I7="",J7="",K7="",L7="",M7=""),"Incomplete",IF(OR(F7="Evidence required",G7="Evidence required",J7="Evidence required"),"Evidence required",IF(M7&lt;&gt;"Reviewed","Review required","Ready for qualified review"))))</x:f>
        <x:v>Review required</x:v>
      </x:c>
    </x:row>
    <x:row r="8">
      <x:c r="A8" s="61" t="str">
        <x:v>CHG-003</x:v>
      </x:c>
      <x:c r="B8" s="61" t="str">
        <x:v>Site / transfer</x:v>
      </x:c>
      <x:c r="C8" s="61" t="str">
        <x:v>Transfer MTH-005 potency procedure to fictional receiving lab</x:v>
      </x:c>
      <x:c r="D8" s="61" t="str">
        <x:v>ATT-003 | MTH-005 | REF-003; REF-004 | BAS-002</x:v>
      </x:c>
      <x:c r="E8" s="61" t="str">
        <x:v>Site, analyst, cell/reagent, instrument, software/model, sample, and reference effects may alter performance.</x:v>
      </x:c>
      <x:c r="F8" s="61" t="str">
        <x:v>Representative samples, reference materials, controls, and variability across intended range</x:v>
      </x:c>
      <x:c r="G8" s="61" t="str">
        <x:v>Controlled transfer/co-validation, comparative analysis, deviations, and reportability plan</x:v>
      </x:c>
      <x:c r="H8" s="61" t="str">
        <x:v>Receiving-site method and system monitoring plus lifecycle commitments</x:v>
      </x:c>
      <x:c r="I8" s="61" t="str">
        <x:v>EVD-002; EVD-003; EVD-007; EVD-008</x:v>
      </x:c>
      <x:c r="J8" s="61" t="str">
        <x:v>Transfer acceptance, validation, specification, data continuity, and filing impact unresolved</x:v>
      </x:c>
      <x:c r="K8" s="61" t="str">
        <x:v>Bioassay transfer owner / QC / Quality</x:v>
      </x:c>
      <x:c r="L8" s="70" t="n">
        <x:v>46290</x:v>
      </x:c>
      <x:c r="M8" s="61" t="str">
        <x:v>In review</x:v>
      </x:c>
      <x:c r="N8" s="67" t="str">
        <x:f>IF(A8="","",IF(OR(B8="",C8="",D8="",E8="",F8="",G8="",H8="",I8="",J8="",K8="",L8="",M8=""),"Incomplete",IF(OR(F8="Evidence required",G8="Evidence required",J8="Evidence required"),"Evidence required",IF(M8&lt;&gt;"Reviewed","Review required","Ready for qualified review"))))</x:f>
        <x:v>Review required</x:v>
      </x:c>
    </x:row>
    <x:row r="9">
      <x:c r="A9" s="61" t="str">
        <x:v>CHG-004</x:v>
      </x:c>
      <x:c r="B9" s="61" t="str">
        <x:v>Specification</x:v>
      </x:c>
      <x:c r="C9" s="61" t="str">
        <x:v>Assess whether charge-profile signal changes control placement or specification</x:v>
      </x:c>
      <x:c r="D9" s="61" t="str">
        <x:v>ATT-002; ATT-003 | MTH-002; MTH-003; MTH-005 | BAS-004</x:v>
      </x:c>
      <x:c r="E9" s="61" t="str">
        <x:v>Observed analytical difference may be product-related, method/reference-related, process-related, or not relevant to the registered control strategy.</x:v>
      </x:c>
      <x:c r="F9" s="61" t="str">
        <x:v>Representative product, process, reference, stability, and orthogonal method evidence</x:v>
      </x:c>
      <x:c r="G9" s="61" t="str">
        <x:v>Attribute relevance, method capability, process control, stability, clinical/nonclinical bridge, and regional assessment</x:v>
      </x:c>
      <x:c r="H9" s="61" t="str">
        <x:v>Trend, commitment, and post-change monitoring proposal under review</x:v>
      </x:c>
      <x:c r="I9" s="61" t="str">
        <x:v>EVD-001; EVD-004; EVD-005; EVD-006; EVD-009</x:v>
      </x:c>
      <x:c r="J9" s="61" t="str">
        <x:v>No specification inclusion, omission, criterion, or filing decision has been made</x:v>
      </x:c>
      <x:c r="K9" s="61" t="str">
        <x:v>Product quality / Quality / Regulatory CMC</x:v>
      </x:c>
      <x:c r="L9" s="70" t="n">
        <x:v>46305</x:v>
      </x:c>
      <x:c r="M9" s="61" t="str">
        <x:v>In review</x:v>
      </x:c>
      <x:c r="N9" s="67" t="str">
        <x:f>IF(A9="","",IF(OR(B9="",C9="",D9="",E9="",F9="",G9="",H9="",I9="",J9="",K9="",L9="",M9=""),"Incomplete",IF(OR(F9="Evidence required",G9="Evidence required",J9="Evidence required"),"Evidence required",IF(M9&lt;&gt;"Reviewed","Review required","Ready for qualified review"))))</x:f>
        <x:v>Review required</x:v>
      </x:c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70"/>
      <x:c r="M10" s="61"/>
      <x:c r="N10" s="67" t="str">
        <x:f>IF(A10="","",IF(OR(B10="",C10="",D10="",E10="",F10="",G10="",H10="",I10="",J10="",K10="",L10="",M10=""),"Incomplete",IF(OR(F10="Evidence required",G10="Evidence required",J10="Evidence required"),"Evidence required",IF(M10&lt;&gt;"Reviewed","Review required","Ready for qualified review"))))</x:f>
      </x:c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70"/>
      <x:c r="M11" s="61"/>
      <x:c r="N11" s="67" t="str">
        <x:f>IF(A11="","",IF(OR(B11="",C11="",D11="",E11="",F11="",G11="",H11="",I11="",J11="",K11="",L11="",M11=""),"Incomplete",IF(OR(F11="Evidence required",G11="Evidence required",J11="Evidence required"),"Evidence required",IF(M11&lt;&gt;"Reviewed","Review required","Ready for qualified review"))))</x:f>
      </x:c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70"/>
      <x:c r="M12" s="61"/>
      <x:c r="N12" s="67" t="str">
        <x:f>IF(A12="","",IF(OR(B12="",C12="",D12="",E12="",F12="",G12="",H12="",I12="",J12="",K12="",L12="",M12=""),"Incomplete",IF(OR(F12="Evidence required",G12="Evidence required",J12="Evidence required"),"Evidence required",IF(M12&lt;&gt;"Reviewed","Review required","Ready for qualified review"))))</x:f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70"/>
      <x:c r="M13" s="61"/>
      <x:c r="N13" s="67" t="str">
        <x:f>IF(A13="","",IF(OR(B13="",C13="",D13="",E13="",F13="",G13="",H13="",I13="",J13="",K13="",L13="",M13=""),"Incomplete",IF(OR(F13="Evidence required",G13="Evidence required",J13="Evidence required"),"Evidence required",IF(M13&lt;&gt;"Reviewed","Review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70"/>
      <x:c r="M14" s="61"/>
      <x:c r="N14" s="67" t="str">
        <x:f>IF(A14="","",IF(OR(B14="",C14="",D14="",E14="",F14="",G14="",H14="",I14="",J14="",K14="",L14="",M14=""),"Incomplete",IF(OR(F14="Evidence required",G14="Evidence required",J14="Evidence required"),"Evidence required",IF(M14&lt;&gt;"Reviewed","Review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70"/>
      <x:c r="M15" s="61"/>
      <x:c r="N15" s="67" t="str">
        <x:f>IF(A15="","",IF(OR(B15="",C15="",D15="",E15="",F15="",G15="",H15="",I15="",J15="",K15="",L15="",M15=""),"Incomplete",IF(OR(F15="Evidence required",G15="Evidence required",J15="Evidence required"),"Evidence required",IF(M15&lt;&gt;"Reviewed","Review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70"/>
      <x:c r="M16" s="61"/>
      <x:c r="N16" s="67" t="str">
        <x:f>IF(A16="","",IF(OR(B16="",C16="",D16="",E16="",F16="",G16="",H16="",I16="",J16="",K16="",L16="",M16=""),"Incomplete",IF(OR(F16="Evidence required",G16="Evidence required",J16="Evidence required"),"Evidence required",IF(M16&lt;&gt;"Reviewed","Review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70"/>
      <x:c r="M17" s="61"/>
      <x:c r="N17" s="67" t="str">
        <x:f>IF(A17="","",IF(OR(B17="",C17="",D17="",E17="",F17="",G17="",H17="",I17="",J17="",K17="",L17="",M17=""),"Incomplete",IF(OR(F17="Evidence required",G17="Evidence required",J17="Evidence required"),"Evidence required",IF(M17&lt;&gt;"Reviewed","Review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70"/>
      <x:c r="M18" s="61"/>
      <x:c r="N18" s="67" t="str">
        <x:f>IF(A18="","",IF(OR(B18="",C18="",D18="",E18="",F18="",G18="",H18="",I18="",J18="",K18="",L18="",M18=""),"Incomplete",IF(OR(F18="Evidence required",G18="Evidence required",J18="Evidence required"),"Evidence required",IF(M18&lt;&gt;"Reviewed","Review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70"/>
      <x:c r="M19" s="61"/>
      <x:c r="N19" s="67" t="str">
        <x:f>IF(A19="","",IF(OR(B19="",C19="",D19="",E19="",F19="",G19="",H19="",I19="",J19="",K19="",L19="",M19=""),"Incomplete",IF(OR(F19="Evidence required",G19="Evidence required",J19="Evidence required"),"Evidence required",IF(M19&lt;&gt;"Reviewed","Review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70"/>
      <x:c r="M20" s="61"/>
      <x:c r="N20" s="67" t="str">
        <x:f>IF(A20="","",IF(OR(B20="",C20="",D20="",E20="",F20="",G20="",H20="",I20="",J20="",K20="",L20="",M20=""),"Incomplete",IF(OR(F20="Evidence required",G20="Evidence required",J20="Evidence required"),"Evidence required",IF(M20&lt;&gt;"Reviewed","Review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70"/>
      <x:c r="M21" s="61"/>
      <x:c r="N21" s="67" t="str">
        <x:f>IF(A21="","",IF(OR(B21="",C21="",D21="",E21="",F21="",G21="",H21="",I21="",J21="",K21="",L21="",M21=""),"Incomplete",IF(OR(F21="Evidence required",G21="Evidence required",J21="Evidence required"),"Evidence required",IF(M21&lt;&gt;"Reviewed","Review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70"/>
      <x:c r="M22" s="61"/>
      <x:c r="N22" s="67" t="str">
        <x:f>IF(A22="","",IF(OR(B22="",C22="",D22="",E22="",F22="",G22="",H22="",I22="",J22="",K22="",L22="",M22=""),"Incomplete",IF(OR(F22="Evidence required",G22="Evidence required",J22="Evidence required"),"Evidence required",IF(M22&lt;&gt;"Reviewed","Review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70"/>
      <x:c r="M23" s="61"/>
      <x:c r="N23" s="67" t="str">
        <x:f>IF(A23="","",IF(OR(B23="",C23="",D23="",E23="",F23="",G23="",H23="",I23="",J23="",K23="",L23="",M23=""),"Incomplete",IF(OR(F23="Evidence required",G23="Evidence required",J23="Evidence required"),"Evidence required",IF(M23&lt;&gt;"Reviewed","Review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70"/>
      <x:c r="M24" s="61"/>
      <x:c r="N24" s="67" t="str">
        <x:f>IF(A24="","",IF(OR(B24="",C24="",D24="",E24="",F24="",G24="",H24="",I24="",J24="",K24="",L24="",M24=""),"Incomplete",IF(OR(F24="Evidence required",G24="Evidence required",J24="Evidence required"),"Evidence required",IF(M24&lt;&gt;"Reviewed","Review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70"/>
      <x:c r="M25" s="61"/>
      <x:c r="N25" s="67" t="str">
        <x:f>IF(A25="","",IF(OR(B25="",C25="",D25="",E25="",F25="",G25="",H25="",I25="",J25="",K25="",L25="",M25=""),"Incomplete",IF(OR(F25="Evidence required",G25="Evidence required",J25="Evidence required"),"Evidence required",IF(M25&lt;&gt;"Reviewed","Review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70"/>
      <x:c r="M26" s="61"/>
      <x:c r="N26" s="67" t="str">
        <x:f>IF(A26="","",IF(OR(B26="",C26="",D26="",E26="",F26="",G26="",H26="",I26="",J26="",K26="",L26="",M26=""),"Incomplete",IF(OR(F26="Evidence required",G26="Evidence required",J26="Evidence required"),"Evidence required",IF(M26&lt;&gt;"Reviewed","Review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70"/>
      <x:c r="M27" s="61"/>
      <x:c r="N27" s="67" t="str">
        <x:f>IF(A27="","",IF(OR(B27="",C27="",D27="",E27="",F27="",G27="",H27="",I27="",J27="",K27="",L27="",M27=""),"Incomplete",IF(OR(F27="Evidence required",G27="Evidence required",J27="Evidence required"),"Evidence required",IF(M27&lt;&gt;"Reviewed","Review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70"/>
      <x:c r="M28" s="61"/>
      <x:c r="N28" s="67" t="str">
        <x:f>IF(A28="","",IF(OR(B28="",C28="",D28="",E28="",F28="",G28="",H28="",I28="",J28="",K28="",L28="",M28=""),"Incomplete",IF(OR(F28="Evidence required",G28="Evidence required",J28="Evidence required"),"Evidence required",IF(M28&lt;&gt;"Reviewed","Review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70"/>
      <x:c r="M29" s="61"/>
      <x:c r="N29" s="67" t="str">
        <x:f>IF(A29="","",IF(OR(B29="",C29="",D29="",E29="",F29="",G29="",H29="",I29="",J29="",K29="",L29="",M29=""),"Incomplete",IF(OR(F29="Evidence required",G29="Evidence required",J29="Evidence required"),"Evidence required",IF(M29&lt;&gt;"Reviewed","Review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70"/>
      <x:c r="M30" s="61"/>
      <x:c r="N30" s="67" t="str">
        <x:f>IF(A30="","",IF(OR(B30="",C30="",D30="",E30="",F30="",G30="",H30="",I30="",J30="",K30="",L30="",M30=""),"Incomplete",IF(OR(F30="Evidence required",G30="Evidence required",J30="Evidence required"),"Evidence required",IF(M30&lt;&gt;"Reviewed","Review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70"/>
      <x:c r="M31" s="61"/>
      <x:c r="N31" s="67" t="str">
        <x:f>IF(A31="","",IF(OR(B31="",C31="",D31="",E31="",F31="",G31="",H31="",I31="",J31="",K31="",L31="",M31=""),"Incomplete",IF(OR(F31="Evidence required",G31="Evidence required",J31="Evidence required"),"Evidence required",IF(M31&lt;&gt;"Reviewed","Review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70"/>
      <x:c r="M32" s="61"/>
      <x:c r="N32" s="67" t="str">
        <x:f>IF(A32="","",IF(OR(B32="",C32="",D32="",E32="",F32="",G32="",H32="",I32="",J32="",K32="",L32="",M32=""),"Incomplete",IF(OR(F32="Evidence required",G32="Evidence required",J32="Evidence required"),"Evidence required",IF(M32&lt;&gt;"Reviewed","Review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70"/>
      <x:c r="M33" s="61"/>
      <x:c r="N33" s="67" t="str">
        <x:f>IF(A33="","",IF(OR(B33="",C33="",D33="",E33="",F33="",G33="",H33="",I33="",J33="",K33="",L33="",M33=""),"Incomplete",IF(OR(F33="Evidence required",G33="Evidence required",J33="Evidence required"),"Evidence required",IF(M33&lt;&gt;"Reviewed","Review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70"/>
      <x:c r="M34" s="61"/>
      <x:c r="N34" s="67" t="str">
        <x:f>IF(A34="","",IF(OR(B34="",C34="",D34="",E34="",F34="",G34="",H34="",I34="",J34="",K34="",L34="",M34=""),"Incomplete",IF(OR(F34="Evidence required",G34="Evidence required",J34="Evidence required"),"Evidence required",IF(M34&lt;&gt;"Reviewed","Review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70"/>
      <x:c r="M35" s="61"/>
      <x:c r="N35" s="67" t="str">
        <x:f>IF(A35="","",IF(OR(B35="",C35="",D35="",E35="",F35="",G35="",H35="",I35="",J35="",K35="",L35="",M35=""),"Incomplete",IF(OR(F35="Evidence required",G35="Evidence required",J35="Evidence required"),"Evidence required",IF(M35&lt;&gt;"Reviewed","Review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70"/>
      <x:c r="M36" s="61"/>
      <x:c r="N36" s="67" t="str">
        <x:f>IF(A36="","",IF(OR(B36="",C36="",D36="",E36="",F36="",G36="",H36="",I36="",J36="",K36="",L36="",M36=""),"Incomplete",IF(OR(F36="Evidence required",G36="Evidence required",J36="Evidence required"),"Evidence required",IF(M36&lt;&gt;"Reviewed","Review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70"/>
      <x:c r="M37" s="61"/>
      <x:c r="N37" s="67" t="str">
        <x:f>IF(A37="","",IF(OR(B37="",C37="",D37="",E37="",F37="",G37="",H37="",I37="",J37="",K37="",L37="",M37=""),"Incomplete",IF(OR(F37="Evidence required",G37="Evidence required",J37="Evidence required"),"Evidence required",IF(M37&lt;&gt;"Reviewed","Review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70"/>
      <x:c r="M38" s="61"/>
      <x:c r="N38" s="67" t="str">
        <x:f>IF(A38="","",IF(OR(B38="",C38="",D38="",E38="",F38="",G38="",H38="",I38="",J38="",K38="",L38="",M38=""),"Incomplete",IF(OR(F38="Evidence required",G38="Evidence required",J38="Evidence required"),"Evidence required",IF(M38&lt;&gt;"Reviewed","Review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70"/>
      <x:c r="M39" s="61"/>
      <x:c r="N39" s="67" t="str">
        <x:f>IF(A39="","",IF(OR(B39="",C39="",D39="",E39="",F39="",G39="",H39="",I39="",J39="",K39="",L39="",M39=""),"Incomplete",IF(OR(F39="Evidence required",G39="Evidence required",J39="Evidence required"),"Evidence required",IF(M39&lt;&gt;"Reviewed","Review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70"/>
      <x:c r="M40" s="61"/>
      <x:c r="N40" s="67" t="str">
        <x:f>IF(A40="","",IF(OR(B40="",C40="",D40="",E40="",F40="",G40="",H40="",I40="",J40="",K40="",L40="",M40=""),"Incomplete",IF(OR(F40="Evidence required",G40="Evidence required",J40="Evidence required"),"Evidence required",IF(M40&lt;&gt;"Reviewed","Review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70"/>
      <x:c r="M41" s="61"/>
      <x:c r="N41" s="67" t="str">
        <x:f>IF(A41="","",IF(OR(B41="",C41="",D41="",E41="",F41="",G41="",H41="",I41="",J41="",K41="",L41="",M41=""),"Incomplete",IF(OR(F41="Evidence required",G41="Evidence required",J41="Evidence required"),"Evidence required",IF(M41&lt;&gt;"Reviewed","Review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70"/>
      <x:c r="M42" s="61"/>
      <x:c r="N42" s="67" t="str">
        <x:f>IF(A42="","",IF(OR(B42="",C42="",D42="",E42="",F42="",G42="",H42="",I42="",J42="",K42="",L42="",M42=""),"Incomplete",IF(OR(F42="Evidence required",G42="Evidence required",J42="Evidence required"),"Evidence required",IF(M42&lt;&gt;"Reviewed","Review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70"/>
      <x:c r="M43" s="61"/>
      <x:c r="N43" s="67" t="str">
        <x:f>IF(A43="","",IF(OR(B43="",C43="",D43="",E43="",F43="",G43="",H43="",I43="",J43="",K43="",L43="",M43=""),"Incomplete",IF(OR(F43="Evidence required",G43="Evidence required",J43="Evidence required"),"Evidence required",IF(M43&lt;&gt;"Reviewed","Review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70"/>
      <x:c r="M44" s="61"/>
      <x:c r="N44" s="67" t="str">
        <x:f>IF(A44="","",IF(OR(B44="",C44="",D44="",E44="",F44="",G44="",H44="",I44="",J44="",K44="",L44="",M44=""),"Incomplete",IF(OR(F44="Evidence required",G44="Evidence required",J44="Evidence required"),"Evidence required",IF(M44&lt;&gt;"Reviewed","Review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70"/>
      <x:c r="M45" s="61"/>
      <x:c r="N45" s="67" t="str">
        <x:f>IF(A45="","",IF(OR(B45="",C45="",D45="",E45="",F45="",G45="",H45="",I45="",J45="",K45="",L45="",M45=""),"Incomplete",IF(OR(F45="Evidence required",G45="Evidence required",J45="Evidence required"),"Evidence required",IF(M45&lt;&gt;"Reviewed","Review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70"/>
      <x:c r="M46" s="61"/>
      <x:c r="N46" s="67" t="str">
        <x:f>IF(A46="","",IF(OR(B46="",C46="",D46="",E46="",F46="",G46="",H46="",I46="",J46="",K46="",L46="",M46=""),"Incomplete",IF(OR(F46="Evidence required",G46="Evidence required",J46="Evidence required"),"Evidence required",IF(M46&lt;&gt;"Reviewed","Review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70"/>
      <x:c r="M47" s="61"/>
      <x:c r="N47" s="67" t="str">
        <x:f>IF(A47="","",IF(OR(B47="",C47="",D47="",E47="",F47="",G47="",H47="",I47="",J47="",K47="",L47="",M47=""),"Incomplete",IF(OR(F47="Evidence required",G47="Evidence required",J47="Evidence required"),"Evidence required",IF(M47&lt;&gt;"Reviewed","Review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70"/>
      <x:c r="M48" s="61"/>
      <x:c r="N48" s="67" t="str">
        <x:f>IF(A48="","",IF(OR(B48="",C48="",D48="",E48="",F48="",G48="",H48="",I48="",J48="",K48="",L48="",M48=""),"Incomplete",IF(OR(F48="Evidence required",G48="Evidence required",J48="Evidence required"),"Evidence required",IF(M48&lt;&gt;"Reviewed","Review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70"/>
      <x:c r="M49" s="61"/>
      <x:c r="N49" s="67" t="str">
        <x:f>IF(A49="","",IF(OR(B49="",C49="",D49="",E49="",F49="",G49="",H49="",I49="",J49="",K49="",L49="",M49=""),"Incomplete",IF(OR(F49="Evidence required",G49="Evidence required",J49="Evidence required"),"Evidence required",IF(M49&lt;&gt;"Reviewed","Review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70"/>
      <x:c r="M50" s="61"/>
      <x:c r="N50" s="67" t="str">
        <x:f>IF(A50="","",IF(OR(B50="",C50="",D50="",E50="",F50="",G50="",H50="",I50="",J50="",K50="",L50="",M50=""),"Incomplete",IF(OR(F50="Evidence required",G50="Evidence required",J50="Evidence required"),"Evidence required",IF(M50&lt;&gt;"Reviewed","Review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70"/>
      <x:c r="M51" s="61"/>
      <x:c r="N51" s="67" t="str">
        <x:f>IF(A51="","",IF(OR(B51="",C51="",D51="",E51="",F51="",G51="",H51="",I51="",J51="",K51="",L51="",M51=""),"Incomplete",IF(OR(F51="Evidence required",G51="Evidence required",J51="Evidence required"),"Evidence required",IF(M51&lt;&gt;"Reviewed","Review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70"/>
      <x:c r="M52" s="61"/>
      <x:c r="N52" s="67" t="str">
        <x:f>IF(A52="","",IF(OR(B52="",C52="",D52="",E52="",F52="",G52="",H52="",I52="",J52="",K52="",L52="",M52=""),"Incomplete",IF(OR(F52="Evidence required",G52="Evidence required",J52="Evidence required"),"Evidence required",IF(M52&lt;&gt;"Reviewed","Review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70"/>
      <x:c r="M53" s="61"/>
      <x:c r="N53" s="67" t="str">
        <x:f>IF(A53="","",IF(OR(B53="",C53="",D53="",E53="",F53="",G53="",H53="",I53="",J53="",K53="",L53="",M53=""),"Incomplete",IF(OR(F53="Evidence required",G53="Evidence required",J53="Evidence required"),"Evidence required",IF(M53&lt;&gt;"Reviewed","Review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70"/>
      <x:c r="M54" s="61"/>
      <x:c r="N54" s="67" t="str">
        <x:f>IF(A54="","",IF(OR(B54="",C54="",D54="",E54="",F54="",G54="",H54="",I54="",J54="",K54="",L54="",M54=""),"Incomplete",IF(OR(F54="Evidence required",G54="Evidence required",J54="Evidence required"),"Evidence required",IF(M54&lt;&gt;"Reviewed","Review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70"/>
      <x:c r="M55" s="61"/>
      <x:c r="N55" s="67" t="str">
        <x:f>IF(A55="","",IF(OR(B55="",C55="",D55="",E55="",F55="",G55="",H55="",I55="",J55="",K55="",L55="",M55=""),"Incomplete",IF(OR(F55="Evidence required",G55="Evidence required",J55="Evidence required"),"Evidence required",IF(M55&lt;&gt;"Reviewed","Review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70"/>
      <x:c r="M56" s="61"/>
      <x:c r="N56" s="67" t="str">
        <x:f>IF(A56="","",IF(OR(B56="",C56="",D56="",E56="",F56="",G56="",H56="",I56="",J56="",K56="",L56="",M56=""),"Incomplete",IF(OR(F56="Evidence required",G56="Evidence required",J56="Evidence required"),"Evidence required",IF(M56&lt;&gt;"Reviewed","Review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70"/>
      <x:c r="M57" s="61"/>
      <x:c r="N57" s="67" t="str">
        <x:f>IF(A57="","",IF(OR(B57="",C57="",D57="",E57="",F57="",G57="",H57="",I57="",J57="",K57="",L57="",M57=""),"Incomplete",IF(OR(F57="Evidence required",G57="Evidence required",J57="Evidence required"),"Evidence required",IF(M57&lt;&gt;"Reviewed","Review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70"/>
      <x:c r="M58" s="61"/>
      <x:c r="N58" s="67" t="str">
        <x:f>IF(A58="","",IF(OR(B58="",C58="",D58="",E58="",F58="",G58="",H58="",I58="",J58="",K58="",L58="",M58=""),"Incomplete",IF(OR(F58="Evidence required",G58="Evidence required",J58="Evidence required"),"Evidence required",IF(M58&lt;&gt;"Reviewed","Review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70"/>
      <x:c r="M59" s="61"/>
      <x:c r="N59" s="67" t="str">
        <x:f>IF(A59="","",IF(OR(B59="",C59="",D59="",E59="",F59="",G59="",H59="",I59="",J59="",K59="",L59="",M59=""),"Incomplete",IF(OR(F59="Evidence required",G59="Evidence required",J59="Evidence required"),"Evidence required",IF(M59&lt;&gt;"Reviewed","Review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70"/>
      <x:c r="M60" s="61"/>
      <x:c r="N60" s="67" t="str">
        <x:f>IF(A60="","",IF(OR(B60="",C60="",D60="",E60="",F60="",G60="",H60="",I60="",J60="",K60="",L60="",M60=""),"Incomplete",IF(OR(F60="Evidence required",G60="Evidence required",J60="Evidence required"),"Evidence required",IF(M60&lt;&gt;"Reviewed","Review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70"/>
      <x:c r="M61" s="61"/>
      <x:c r="N61" s="67" t="str">
        <x:f>IF(A61="","",IF(OR(B61="",C61="",D61="",E61="",F61="",G61="",H61="",I61="",J61="",K61="",L61="",M61=""),"Incomplete",IF(OR(F61="Evidence required",G61="Evidence required",J61="Evidence required"),"Evidence required",IF(M61&lt;&gt;"Reviewed","Review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70"/>
      <x:c r="M62" s="61"/>
      <x:c r="N62" s="67" t="str">
        <x:f>IF(A62="","",IF(OR(B62="",C62="",D62="",E62="",F62="",G62="",H62="",I62="",J62="",K62="",L62="",M62=""),"Incomplete",IF(OR(F62="Evidence required",G62="Evidence required",J62="Evidence required"),"Evidence required",IF(M62&lt;&gt;"Reviewed","Review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70"/>
      <x:c r="M63" s="61"/>
      <x:c r="N63" s="67" t="str">
        <x:f>IF(A63="","",IF(OR(B63="",C63="",D63="",E63="",F63="",G63="",H63="",I63="",J63="",K63="",L63="",M63=""),"Incomplete",IF(OR(F63="Evidence required",G63="Evidence required",J63="Evidence required"),"Evidence required",IF(M63&lt;&gt;"Reviewed","Review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70"/>
      <x:c r="M64" s="61"/>
      <x:c r="N64" s="67" t="str">
        <x:f>IF(A64="","",IF(OR(B64="",C64="",D64="",E64="",F64="",G64="",H64="",I64="",J64="",K64="",L64="",M64=""),"Incomplete",IF(OR(F64="Evidence required",G64="Evidence required",J64="Evidence required"),"Evidence required",IF(M64&lt;&gt;"Reviewed","Review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70"/>
      <x:c r="M65" s="61"/>
      <x:c r="N65" s="67" t="str">
        <x:f>IF(A65="","",IF(OR(B65="",C65="",D65="",E65="",F65="",G65="",H65="",I65="",J65="",K65="",L65="",M65=""),"Incomplete",IF(OR(F65="Evidence required",G65="Evidence required",J65="Evidence required"),"Evidence required",IF(M65&lt;&gt;"Reviewed","Review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70"/>
      <x:c r="M66" s="61"/>
      <x:c r="N66" s="67" t="str">
        <x:f>IF(A66="","",IF(OR(B66="",C66="",D66="",E66="",F66="",G66="",H66="",I66="",J66="",K66="",L66="",M66=""),"Incomplete",IF(OR(F66="Evidence required",G66="Evidence required",J66="Evidence required"),"Evidence required",IF(M66&lt;&gt;"Reviewed","Review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70"/>
      <x:c r="M67" s="61"/>
      <x:c r="N67" s="67" t="str">
        <x:f>IF(A67="","",IF(OR(B67="",C67="",D67="",E67="",F67="",G67="",H67="",I67="",J67="",K67="",L67="",M67=""),"Incomplete",IF(OR(F67="Evidence required",G67="Evidence required",J67="Evidence required"),"Evidence required",IF(M67&lt;&gt;"Reviewed","Review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70"/>
      <x:c r="M68" s="61"/>
      <x:c r="N68" s="67" t="str">
        <x:f>IF(A68="","",IF(OR(B68="",C68="",D68="",E68="",F68="",G68="",H68="",I68="",J68="",K68="",L68="",M68=""),"Incomplete",IF(OR(F68="Evidence required",G68="Evidence required",J68="Evidence required"),"Evidence required",IF(M68&lt;&gt;"Reviewed","Review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70"/>
      <x:c r="M69" s="61"/>
      <x:c r="N69" s="67" t="str">
        <x:f>IF(A69="","",IF(OR(B69="",C69="",D69="",E69="",F69="",G69="",H69="",I69="",J69="",K69="",L69="",M69=""),"Incomplete",IF(OR(F69="Evidence required",G69="Evidence required",J69="Evidence required"),"Evidence required",IF(M69&lt;&gt;"Reviewed","Review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70"/>
      <x:c r="M70" s="61"/>
      <x:c r="N70" s="67" t="str">
        <x:f>IF(A70="","",IF(OR(B70="",C70="",D70="",E70="",F70="",G70="",H70="",I70="",J70="",K70="",L70="",M70=""),"Incomplete",IF(OR(F70="Evidence required",G70="Evidence required",J70="Evidence required"),"Evidence required",IF(M70&lt;&gt;"Reviewed","Review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70"/>
      <x:c r="M71" s="61"/>
      <x:c r="N71" s="67" t="str">
        <x:f>IF(A71="","",IF(OR(B71="",C71="",D71="",E71="",F71="",G71="",H71="",I71="",J71="",K71="",L71="",M71=""),"Incomplete",IF(OR(F71="Evidence required",G71="Evidence required",J71="Evidence required"),"Evidence required",IF(M71&lt;&gt;"Reviewed","Review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70"/>
      <x:c r="M72" s="61"/>
      <x:c r="N72" s="67" t="str">
        <x:f>IF(A72="","",IF(OR(B72="",C72="",D72="",E72="",F72="",G72="",H72="",I72="",J72="",K72="",L72="",M72=""),"Incomplete",IF(OR(F72="Evidence required",G72="Evidence required",J72="Evidence required"),"Evidence required",IF(M72&lt;&gt;"Reviewed","Review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70"/>
      <x:c r="M73" s="61"/>
      <x:c r="N73" s="67" t="str">
        <x:f>IF(A73="","",IF(OR(B73="",C73="",D73="",E73="",F73="",G73="",H73="",I73="",J73="",K73="",L73="",M73=""),"Incomplete",IF(OR(F73="Evidence required",G73="Evidence required",J73="Evidence required"),"Evidence required",IF(M73&lt;&gt;"Reviewed","Review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70"/>
      <x:c r="M74" s="61"/>
      <x:c r="N74" s="67" t="str">
        <x:f>IF(A74="","",IF(OR(B74="",C74="",D74="",E74="",F74="",G74="",H74="",I74="",J74="",K74="",L74="",M74=""),"Incomplete",IF(OR(F74="Evidence required",G74="Evidence required",J74="Evidence required"),"Evidence required",IF(M74&lt;&gt;"Reviewed","Review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70"/>
      <x:c r="M75" s="61"/>
      <x:c r="N75" s="67" t="str">
        <x:f>IF(A75="","",IF(OR(B75="",C75="",D75="",E75="",F75="",G75="",H75="",I75="",J75="",K75="",L75="",M75=""),"Incomplete",IF(OR(F75="Evidence required",G75="Evidence required",J75="Evidence required"),"Evidence required",IF(M75&lt;&gt;"Reviewed","Review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70"/>
      <x:c r="M76" s="61"/>
      <x:c r="N76" s="67" t="str">
        <x:f>IF(A76="","",IF(OR(B76="",C76="",D76="",E76="",F76="",G76="",H76="",I76="",J76="",K76="",L76="",M76=""),"Incomplete",IF(OR(F76="Evidence required",G76="Evidence required",J76="Evidence required"),"Evidence required",IF(M76&lt;&gt;"Reviewed","Review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70"/>
      <x:c r="M77" s="61"/>
      <x:c r="N77" s="67" t="str">
        <x:f>IF(A77="","",IF(OR(B77="",C77="",D77="",E77="",F77="",G77="",H77="",I77="",J77="",K77="",L77="",M77=""),"Incomplete",IF(OR(F77="Evidence required",G77="Evidence required",J77="Evidence required"),"Evidence required",IF(M77&lt;&gt;"Reviewed","Review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70"/>
      <x:c r="M78" s="61"/>
      <x:c r="N78" s="67" t="str">
        <x:f>IF(A78="","",IF(OR(B78="",C78="",D78="",E78="",F78="",G78="",H78="",I78="",J78="",K78="",L78="",M78=""),"Incomplete",IF(OR(F78="Evidence required",G78="Evidence required",J78="Evidence required"),"Evidence required",IF(M78&lt;&gt;"Reviewed","Review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70"/>
      <x:c r="M79" s="61"/>
      <x:c r="N79" s="67" t="str">
        <x:f>IF(A79="","",IF(OR(B79="",C79="",D79="",E79="",F79="",G79="",H79="",I79="",J79="",K79="",L79="",M79=""),"Incomplete",IF(OR(F79="Evidence required",G79="Evidence required",J79="Evidence required"),"Evidence required",IF(M79&lt;&gt;"Reviewed","Review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70"/>
      <x:c r="M80" s="61"/>
      <x:c r="N80" s="67" t="str">
        <x:f>IF(A80="","",IF(OR(B80="",C80="",D80="",E80="",F80="",G80="",H80="",I80="",J80="",K80="",L80="",M80=""),"Incomplete",IF(OR(F80="Evidence required",G80="Evidence required",J80="Evidence required"),"Evidence required",IF(M80&lt;&gt;"Reviewed","Review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70"/>
      <x:c r="M81" s="61"/>
      <x:c r="N81" s="67" t="str">
        <x:f>IF(A81="","",IF(OR(B81="",C81="",D81="",E81="",F81="",G81="",H81="",I81="",J81="",K81="",L81="",M81=""),"Incomplete",IF(OR(F81="Evidence required",G81="Evidence required",J81="Evidence required"),"Evidence required",IF(M81&lt;&gt;"Reviewed","Review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70"/>
      <x:c r="M82" s="61"/>
      <x:c r="N82" s="67" t="str">
        <x:f>IF(A82="","",IF(OR(B82="",C82="",D82="",E82="",F82="",G82="",H82="",I82="",J82="",K82="",L82="",M82=""),"Incomplete",IF(OR(F82="Evidence required",G82="Evidence required",J82="Evidence required"),"Evidence required",IF(M82&lt;&gt;"Reviewed","Review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70"/>
      <x:c r="M83" s="61"/>
      <x:c r="N83" s="67" t="str">
        <x:f>IF(A83="","",IF(OR(B83="",C83="",D83="",E83="",F83="",G83="",H83="",I83="",J83="",K83="",L83="",M83=""),"Incomplete",IF(OR(F83="Evidence required",G83="Evidence required",J83="Evidence required"),"Evidence required",IF(M83&lt;&gt;"Reviewed","Review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70"/>
      <x:c r="M84" s="61"/>
      <x:c r="N84" s="67" t="str">
        <x:f>IF(A84="","",IF(OR(B84="",C84="",D84="",E84="",F84="",G84="",H84="",I84="",J84="",K84="",L84="",M84=""),"Incomplete",IF(OR(F84="Evidence required",G84="Evidence required",J84="Evidence required"),"Evidence required",IF(M84&lt;&gt;"Reviewed","Review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70"/>
      <x:c r="M85" s="61"/>
      <x:c r="N85" s="67" t="str">
        <x:f>IF(A85="","",IF(OR(B85="",C85="",D85="",E85="",F85="",G85="",H85="",I85="",J85="",K85="",L85="",M85=""),"Incomplete",IF(OR(F85="Evidence required",G85="Evidence required",J85="Evidence required"),"Evidence required",IF(M85&lt;&gt;"Reviewed","Review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70"/>
      <x:c r="M86" s="61"/>
      <x:c r="N86" s="67" t="str">
        <x:f>IF(A86="","",IF(OR(B86="",C86="",D86="",E86="",F86="",G86="",H86="",I86="",J86="",K86="",L86="",M86=""),"Incomplete",IF(OR(F86="Evidence required",G86="Evidence required",J86="Evidence required"),"Evidence required",IF(M86&lt;&gt;"Reviewed","Review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70"/>
      <x:c r="M87" s="61"/>
      <x:c r="N87" s="67" t="str">
        <x:f>IF(A87="","",IF(OR(B87="",C87="",D87="",E87="",F87="",G87="",H87="",I87="",J87="",K87="",L87="",M87=""),"Incomplete",IF(OR(F87="Evidence required",G87="Evidence required",J87="Evidence required"),"Evidence required",IF(M87&lt;&gt;"Reviewed","Review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70"/>
      <x:c r="M88" s="61"/>
      <x:c r="N88" s="67" t="str">
        <x:f>IF(A88="","",IF(OR(B88="",C88="",D88="",E88="",F88="",G88="",H88="",I88="",J88="",K88="",L88="",M88=""),"Incomplete",IF(OR(F88="Evidence required",G88="Evidence required",J88="Evidence required"),"Evidence required",IF(M88&lt;&gt;"Reviewed","Review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70"/>
      <x:c r="M89" s="61"/>
      <x:c r="N89" s="67" t="str">
        <x:f>IF(A89="","",IF(OR(B89="",C89="",D89="",E89="",F89="",G89="",H89="",I89="",J89="",K89="",L89="",M89=""),"Incomplete",IF(OR(F89="Evidence required",G89="Evidence required",J89="Evidence required"),"Evidence required",IF(M89&lt;&gt;"Reviewed","Review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70"/>
      <x:c r="M90" s="61"/>
      <x:c r="N90" s="67" t="str">
        <x:f>IF(A90="","",IF(OR(B90="",C90="",D90="",E90="",F90="",G90="",H90="",I90="",J90="",K90="",L90="",M90=""),"Incomplete",IF(OR(F90="Evidence required",G90="Evidence required",J90="Evidence required"),"Evidence required",IF(M90&lt;&gt;"Reviewed","Review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70"/>
      <x:c r="M91" s="61"/>
      <x:c r="N91" s="67" t="str">
        <x:f>IF(A91="","",IF(OR(B91="",C91="",D91="",E91="",F91="",G91="",H91="",I91="",J91="",K91="",L91="",M91=""),"Incomplete",IF(OR(F91="Evidence required",G91="Evidence required",J91="Evidence required"),"Evidence required",IF(M91&lt;&gt;"Reviewed","Review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70"/>
      <x:c r="M92" s="61"/>
      <x:c r="N92" s="67" t="str">
        <x:f>IF(A92="","",IF(OR(B92="",C92="",D92="",E92="",F92="",G92="",H92="",I92="",J92="",K92="",L92="",M92=""),"Incomplete",IF(OR(F92="Evidence required",G92="Evidence required",J92="Evidence required"),"Evidence required",IF(M92&lt;&gt;"Reviewed","Review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70"/>
      <x:c r="M93" s="61"/>
      <x:c r="N93" s="67" t="str">
        <x:f>IF(A93="","",IF(OR(B93="",C93="",D93="",E93="",F93="",G93="",H93="",I93="",J93="",K93="",L93="",M93=""),"Incomplete",IF(OR(F93="Evidence required",G93="Evidence required",J93="Evidence required"),"Evidence required",IF(M93&lt;&gt;"Reviewed","Review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70"/>
      <x:c r="M94" s="61"/>
      <x:c r="N94" s="67" t="str">
        <x:f>IF(A94="","",IF(OR(B94="",C94="",D94="",E94="",F94="",G94="",H94="",I94="",J94="",K94="",L94="",M94=""),"Incomplete",IF(OR(F94="Evidence required",G94="Evidence required",J94="Evidence required"),"Evidence required",IF(M94&lt;&gt;"Reviewed","Review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70"/>
      <x:c r="M95" s="61"/>
      <x:c r="N95" s="67" t="str">
        <x:f>IF(A95="","",IF(OR(B95="",C95="",D95="",E95="",F95="",G95="",H95="",I95="",J95="",K95="",L95="",M95=""),"Incomplete",IF(OR(F95="Evidence required",G95="Evidence required",J95="Evidence required"),"Evidence required",IF(M95&lt;&gt;"Reviewed","Review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70"/>
      <x:c r="M96" s="61"/>
      <x:c r="N96" s="67" t="str">
        <x:f>IF(A96="","",IF(OR(B96="",C96="",D96="",E96="",F96="",G96="",H96="",I96="",J96="",K96="",L96="",M96=""),"Incomplete",IF(OR(F96="Evidence required",G96="Evidence required",J96="Evidence required"),"Evidence required",IF(M96&lt;&gt;"Reviewed","Review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70"/>
      <x:c r="M97" s="61"/>
      <x:c r="N97" s="67" t="str">
        <x:f>IF(A97="","",IF(OR(B97="",C97="",D97="",E97="",F97="",G97="",H97="",I97="",J97="",K97="",L97="",M97=""),"Incomplete",IF(OR(F97="Evidence required",G97="Evidence required",J97="Evidence required"),"Evidence required",IF(M97&lt;&gt;"Reviewed","Review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70"/>
      <x:c r="M98" s="61"/>
      <x:c r="N98" s="67" t="str">
        <x:f>IF(A98="","",IF(OR(B98="",C98="",D98="",E98="",F98="",G98="",H98="",I98="",J98="",K98="",L98="",M98=""),"Incomplete",IF(OR(F98="Evidence required",G98="Evidence required",J98="Evidence required"),"Evidence required",IF(M98&lt;&gt;"Reviewed","Review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70"/>
      <x:c r="M99" s="61"/>
      <x:c r="N99" s="67" t="str">
        <x:f>IF(A99="","",IF(OR(B99="",C99="",D99="",E99="",F99="",G99="",H99="",I99="",J99="",K99="",L99="",M99=""),"Incomplete",IF(OR(F99="Evidence required",G99="Evidence required",J99="Evidence required"),"Evidence required",IF(M99&lt;&gt;"Reviewed","Review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70"/>
      <x:c r="M100" s="61"/>
      <x:c r="N100" s="67" t="str">
        <x:f>IF(A100="","",IF(OR(B100="",C100="",D100="",E100="",F100="",G100="",H100="",I100="",J100="",K100="",L100="",M100=""),"Incomplete",IF(OR(F100="Evidence required",G100="Evidence required",J100="Evidence required"),"Evidence required",IF(M100&lt;&gt;"Reviewed","Review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70"/>
      <x:c r="M101" s="61"/>
      <x:c r="N101" s="67" t="str">
        <x:f>IF(A101="","",IF(OR(B101="",C101="",D101="",E101="",F101="",G101="",H101="",I101="",J101="",K101="",L101="",M101=""),"Incomplete",IF(OR(F101="Evidence required",G101="Evidence required",J101="Evidence required"),"Evidence required",IF(M101&lt;&gt;"Reviewed","Review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70"/>
      <x:c r="M102" s="61"/>
      <x:c r="N102" s="67" t="str">
        <x:f>IF(A102="","",IF(OR(B102="",C102="",D102="",E102="",F102="",G102="",H102="",I102="",J102="",K102="",L102="",M102=""),"Incomplete",IF(OR(F102="Evidence required",G102="Evidence required",J102="Evidence required"),"Evidence required",IF(M102&lt;&gt;"Reviewed","Review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70"/>
      <x:c r="M103" s="61"/>
      <x:c r="N103" s="67" t="str">
        <x:f>IF(A103="","",IF(OR(B103="",C103="",D103="",E103="",F103="",G103="",H103="",I103="",J103="",K103="",L103="",M103=""),"Incomplete",IF(OR(F103="Evidence required",G103="Evidence required",J103="Evidence required"),"Evidence required",IF(M103&lt;&gt;"Reviewed","Review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70"/>
      <x:c r="M104" s="61"/>
      <x:c r="N104" s="67" t="str">
        <x:f>IF(A104="","",IF(OR(B104="",C104="",D104="",E104="",F104="",G104="",H104="",I104="",J104="",K104="",L104="",M104=""),"Incomplete",IF(OR(F104="Evidence required",G104="Evidence required",J104="Evidence required"),"Evidence required",IF(M104&lt;&gt;"Reviewed","Review required","Ready for qualified review"))))</x:f>
      </x:c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71"/>
      <x:c r="M105" s="62"/>
      <x:c r="N105" s="68" t="str">
        <x:f>IF(A105="","",IF(OR(B105="",C105="",D105="",E105="",F105="",G105="",H105="",I105="",J105="",K105="",L105="",M105=""),"Incomplete",IF(OR(F105="Evidence required",G105="Evidence required",J105="Evidence required"),"Evidence required",IF(M105&lt;&gt;"Reviewed","Review required","Ready for qualified review"))))</x:f>
      </x:c>
    </x:row>
  </x:sheetData>
  <x:mergeCells>
    <x:mergeCell ref="A1:N1"/>
    <x:mergeCell ref="A2:N2"/>
  </x:mergeCells>
  <x:conditionalFormatting sqref="N6:N105">
    <x:cfRule type="containsText" dxfId="42" priority="1" operator="containsText" text="Incomplete"/>
    <x:cfRule type="containsText" dxfId="43" priority="2" operator="containsText" text="Evidence required"/>
    <x:cfRule type="containsText" dxfId="44" priority="3" operator="containsText" text="Review required"/>
    <x:cfRule type="containsText" dxfId="45" priority="4" operator="containsText" text="Open"/>
    <x:cfRule type="containsText" dxfId="46" priority="5" operator="containsText" text="Overdue"/>
    <x:cfRule type="containsText" dxfId="47" priority="6" operator="containsText" text="Ready"/>
    <x:cfRule type="containsText" dxfId="48" priority="7" operator="containsText" text="Closed"/>
  </x:conditionalFormatting>
  <x:dataValidations count="2">
    <x:dataValidation type="list" sqref="B6:B105">
      <x:formula1>"Product / process,Analytical procedure,Site / transfer,Instrument / software,Reference material,Critical reagent / cell,Specification,Regulatory commitment,Other"</x:formula1>
    </x:dataValidation>
    <x:dataValidation type="list" sqref="M6:M105">
      <x:formula1>"Not started,Draft,In review,Reviewed"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36" hidden="0" customWidth="1"/>
    <x:col min="4" max="4" width="25" hidden="0" customWidth="1"/>
    <x:col min="5" max="5" width="42" hidden="0" customWidth="1"/>
    <x:col min="6" max="6" width="34" hidden="0" customWidth="1"/>
    <x:col min="7" max="7" width="41" hidden="0" customWidth="1"/>
    <x:col min="8" max="8" width="42" hidden="0" customWidth="1"/>
    <x:col min="9" max="9" width="24" hidden="0" customWidth="1"/>
    <x:col min="10" max="10" width="27" hidden="0" customWidth="1"/>
    <x:col min="11" max="11" width="22" hidden="0" customWidth="1"/>
  </x:cols>
  <x:sheetData>
    <x:row r="1" ht="28" customHeight="1">
      <x:c r="A1" s="3" t="str">
        <x:v>Evidence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Keep provenance, applicability, supported claim, limitations, evidence strength, and ownership traceable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8" customHeight="1">
      <x:c r="A5" s="47" t="str">
        <x:v>Evidence ID</x:v>
      </x:c>
      <x:c r="B5" s="48" t="str">
        <x:v>Evidence type</x:v>
      </x:c>
      <x:c r="C5" s="48" t="str">
        <x:v>Title / record</x:v>
      </x:c>
      <x:c r="D5" s="48" t="str">
        <x:v>Version / effective date</x:v>
      </x:c>
      <x:c r="E5" s="48" t="str">
        <x:v>Locator / controlled reference</x:v>
      </x:c>
      <x:c r="F5" s="48" t="str">
        <x:v>Applicability</x:v>
      </x:c>
      <x:c r="G5" s="48" t="str">
        <x:v>Supports</x:v>
      </x:c>
      <x:c r="H5" s="48" t="str">
        <x:v>Limitations / contradiction</x:v>
      </x:c>
      <x:c r="I5" s="48" t="str">
        <x:v>Evidence strength</x:v>
      </x:c>
      <x:c r="J5" s="48" t="str">
        <x:v>Owner role</x:v>
      </x:c>
      <x:c r="K5" s="49" t="str">
        <x:v>Attention</x:v>
      </x:c>
    </x:row>
    <x:row r="6">
      <x:c r="A6" s="60" t="str">
        <x:v>EVD-001</x:v>
      </x:c>
      <x:c r="B6" s="60" t="str">
        <x:v>Official guidance</x:v>
      </x:c>
      <x:c r="C6" s="60" t="str">
        <x:v>ICH Q6B</x:v>
      </x:c>
      <x:c r="D6" s="60" t="str">
        <x:v>Current Step 4; Q6(R1) revision monitored</x:v>
      </x:c>
      <x:c r="E6" s="60" t="str">
        <x:v>https://database.ich.org/sites/default/files/Q6B%20Guideline.pdf</x:v>
      </x:c>
      <x:c r="F6" s="60" t="str">
        <x:v>Protein/polypeptide product and decision within cited scope</x:v>
      </x:c>
      <x:c r="G6" s="60" t="str">
        <x:v>Characterization, activity, impurities, reference, specification, and total-control principles</x:v>
      </x:c>
      <x:c r="H6" s="60" t="str">
        <x:v>No universal method panel or product-specific criterion</x:v>
      </x:c>
      <x:c r="I6" s="60" t="str">
        <x:v>Multi-source support</x:v>
      </x:c>
      <x:c r="J6" s="60" t="str">
        <x:v>Regulatory CMC / Product quality</x:v>
      </x:c>
      <x:c r="K6" s="66" t="str">
        <x:f>IF(A6="","",IF(OR(B6="",C6="",D6="",E6="",F6="",G6="",H6="",I6="",J6=""),"Incomplete",IF(E6="Evidence required","Evidence required",IF(OR(I6="Hypothesis",I6="Observed association",I6="Contradictory or unresolved"),"Review required","Ready for qualified review"))))</x:f>
        <x:v>Ready for qualified review</x:v>
      </x:c>
    </x:row>
    <x:row r="7">
      <x:c r="A7" s="61" t="str">
        <x:v>EVD-002</x:v>
      </x:c>
      <x:c r="B7" s="61" t="str">
        <x:v>Official guidance</x:v>
      </x:c>
      <x:c r="C7" s="61" t="str">
        <x:v>ICH Q2(R2) and Q14</x:v>
      </x:c>
      <x:c r="D7" s="61" t="str">
        <x:v>Current Step 4 guidelines</x:v>
      </x:c>
      <x:c r="E7" s="61" t="str">
        <x:v>https://database.ich.org/sites/default/files/ICH_Q2%28R2%29_Guideline_2023_1130.pdf | https://database.ich.org/sites/default/files/ICH_Q14_Guideline_2023_1116.pdf</x:v>
      </x:c>
      <x:c r="F7" s="61" t="str">
        <x:v>Analytical procedure intended-use, validation, control, transfer, and lifecycle context</x:v>
      </x:c>
      <x:c r="G7" s="61" t="str">
        <x:v>ATP, performance, validation, reportability, reference, monitoring, bridging, and change principles</x:v>
      </x:c>
      <x:c r="H7" s="61" t="str">
        <x:v>No product-specific procedure, range, criterion, or regional approval</x:v>
      </x:c>
      <x:c r="I7" s="61" t="str">
        <x:v>Multi-source support</x:v>
      </x:c>
      <x:c r="J7" s="61" t="str">
        <x:v>Analytical development / Validation / Regulatory CMC</x:v>
      </x:c>
      <x:c r="K7" s="67" t="str">
        <x:f>IF(A7="","",IF(OR(B7="",C7="",D7="",E7="",F7="",G7="",H7="",I7="",J7=""),"Incomplete",IF(E7="Evidence required","Evidence required",IF(OR(I7="Hypothesis",I7="Observed association",I7="Contradictory or unresolved"),"Review required","Ready for qualified review"))))</x:f>
        <x:v>Ready for qualified review</x:v>
      </x:c>
    </x:row>
    <x:row r="8">
      <x:c r="A8" s="61" t="str">
        <x:v>EVD-003</x:v>
      </x:c>
      <x:c r="B8" s="61" t="str">
        <x:v>Official guidance</x:v>
      </x:c>
      <x:c r="C8" s="61" t="str">
        <x:v>WHO biological reference standards recommendations</x:v>
      </x:c>
      <x:c r="D8" s="61" t="str">
        <x:v>2026; replaces Annex 2 of TRS 932</x:v>
      </x:c>
      <x:c r="E8" s="61" t="str">
        <x:v>https://www.who.int/publications/m/item/recommendations-for-the-preparation--characterization--establishment-and-use-of-who-international-biological-reference-standards-%282026%29</x:v>
      </x:c>
      <x:c r="F8" s="61" t="str">
        <x:v>International biological reference-standard context</x:v>
      </x:c>
      <x:c r="G8" s="61" t="str">
        <x:v>International standard purpose, establishment, use, and stewardship</x:v>
      </x:c>
      <x:c r="H8" s="61" t="str">
        <x:v>Does not define product-specific reference suitability, assigned value, or specification</x:v>
      </x:c>
      <x:c r="I8" s="61" t="str">
        <x:v>Multi-source support</x:v>
      </x:c>
      <x:c r="J8" s="61" t="str">
        <x:v>Reference-standard owner / Quality</x:v>
      </x:c>
      <x:c r="K8" s="67" t="str">
        <x:f>IF(A8="","",IF(OR(B8="",C8="",D8="",E8="",F8="",G8="",H8="",I8="",J8=""),"Incomplete",IF(E8="Evidence required","Evidence required",IF(OR(I8="Hypothesis",I8="Observed association",I8="Contradictory or unresolved"),"Review required","Ready for qualified review"))))</x:f>
        <x:v>Ready for qualified review</x:v>
      </x:c>
    </x:row>
    <x:row r="9">
      <x:c r="A9" s="61" t="str">
        <x:v>EVD-004</x:v>
      </x:c>
      <x:c r="B9" s="61" t="str">
        <x:v>Development study</x:v>
      </x:c>
      <x:c r="C9" s="61" t="str">
        <x:v>Fictional product characterization package</x:v>
      </x:c>
      <x:c r="D9" s="61" t="str">
        <x:v>FIC-CHAR-2026-04</x:v>
      </x:c>
      <x:c r="E9" s="61" t="str">
        <x:v>Controlled fictional record reference</x:v>
      </x:c>
      <x:c r="F9" s="61" t="str">
        <x:v>FIC-MAB-07 current and selected post-change material</x:v>
      </x:c>
      <x:c r="G9" s="61" t="str">
        <x:v>Structure, heterogeneity, purity, activity, impurity, and method observations</x:v>
      </x:c>
      <x:c r="H9" s="61" t="str">
        <x:v>Fictional; post-change scope and some orthogonal follow-up remain open</x:v>
      </x:c>
      <x:c r="I9" s="61" t="str">
        <x:v>Designed-study support</x:v>
      </x:c>
      <x:c r="J9" s="61" t="str">
        <x:v>Product quality / Analytical development</x:v>
      </x:c>
      <x:c r="K9" s="67" t="str">
        <x:f>IF(A9="","",IF(OR(B9="",C9="",D9="",E9="",F9="",G9="",H9="",I9="",J9=""),"Incomplete",IF(E9="Evidence required","Evidence required",IF(OR(I9="Hypothesis",I9="Observed association",I9="Contradictory or unresolved"),"Review required","Ready for qualified review"))))</x:f>
        <x:v>Ready for qualified review</x:v>
      </x:c>
    </x:row>
    <x:row r="10">
      <x:c r="A10" s="61" t="str">
        <x:v>EVD-005</x:v>
      </x:c>
      <x:c r="B10" s="61" t="str">
        <x:v>Development study</x:v>
      </x:c>
      <x:c r="C10" s="61" t="str">
        <x:v>Fictional polishing-resin process and impurity package</x:v>
      </x:c>
      <x:c r="D10" s="61" t="str">
        <x:v>FIC-DSP-2026-07</x:v>
      </x:c>
      <x:c r="E10" s="61" t="str">
        <x:v>Controlled fictional record reference</x:v>
      </x:c>
      <x:c r="F10" s="61" t="str">
        <x:v>Defined polishing step and selected representative scale/model scope</x:v>
      </x:c>
      <x:c r="G10" s="61" t="str">
        <x:v>Process mechanism, impurity, recovery, and product-quality questions</x:v>
      </x:c>
      <x:c r="H10" s="61" t="str">
        <x:v>Scale/model representation and full change conclusion remain open</x:v>
      </x:c>
      <x:c r="I10" s="61" t="str">
        <x:v>Designed-study support</x:v>
      </x:c>
      <x:c r="J10" s="61" t="str">
        <x:v>Downstream PD / MSAT</x:v>
      </x:c>
      <x:c r="K10" s="67" t="str">
        <x:f>IF(A10="","",IF(OR(B10="",C10="",D10="",E10="",F10="",G10="",H10="",I10="",J10=""),"Incomplete",IF(E10="Evidence required","Evidence required",IF(OR(I10="Hypothesis",I10="Observed association",I10="Contradictory or unresolved"),"Review required","Ready for qualified review"))))</x:f>
        <x:v>Ready for qualified review</x:v>
      </x:c>
    </x:row>
    <x:row r="11">
      <x:c r="A11" s="61" t="str">
        <x:v>EVD-006</x:v>
      </x:c>
      <x:c r="B11" s="61" t="str">
        <x:v>Manufacturing data</x:v>
      </x:c>
      <x:c r="C11" s="61" t="str">
        <x:v>Fictional post-change charge and product trend</x:v>
      </x:c>
      <x:c r="D11" s="61" t="str">
        <x:v>FIC-TREND-2026-Q2</x:v>
      </x:c>
      <x:c r="E11" s="61" t="str">
        <x:v>Controlled fictional record reference</x:v>
      </x:c>
      <x:c r="F11" s="61" t="str">
        <x:v>Limited engineering and selected stability samples</x:v>
      </x:c>
      <x:c r="G11" s="61" t="str">
        <x:v>Observed charge profile, size, particle, and potency signals</x:v>
      </x:c>
      <x:c r="H11" s="61" t="str">
        <x:v>Limited sample scope and concurrent method/reference/site factors prevent causal conclusion</x:v>
      </x:c>
      <x:c r="I11" s="61" t="str">
        <x:v>Contradictory or unresolved</x:v>
      </x:c>
      <x:c r="J11" s="61" t="str">
        <x:v>Product quality / Statistics</x:v>
      </x:c>
      <x:c r="K11" s="67" t="str">
        <x:f>IF(A11="","",IF(OR(B11="",C11="",D11="",E11="",F11="",G11="",H11="",I11="",J11=""),"Incomplete",IF(E11="Evidence required","Evidence required",IF(OR(I11="Hypothesis",I11="Observed association",I11="Contradictory or unresolved"),"Review required","Ready for qualified review"))))</x:f>
        <x:v>Review required</x:v>
      </x:c>
    </x:row>
    <x:row r="12">
      <x:c r="A12" s="61" t="str">
        <x:v>EVD-007</x:v>
      </x:c>
      <x:c r="B12" s="61" t="str">
        <x:v>Reference qualification</x:v>
      </x:c>
      <x:c r="C12" s="61" t="str">
        <x:v>Fictional PRS-01 / PRS-02 and WRS-POT-05 records</x:v>
      </x:c>
      <x:c r="D12" s="61" t="str">
        <x:v>FIC-REF-2026-08</x:v>
      </x:c>
      <x:c r="E12" s="61" t="str">
        <x:v>Controlled fictional record reference</x:v>
      </x:c>
      <x:c r="F12" s="61" t="str">
        <x:v>Defined intended uses and candidate/reference lots</x:v>
      </x:c>
      <x:c r="G12" s="61" t="str">
        <x:v>Current qualification and proposed reference-transition evidence</x:v>
      </x:c>
      <x:c r="H12" s="61" t="str">
        <x:v>Bridge, stability, assigned-property, and use-specific conclusions remain open</x:v>
      </x:c>
      <x:c r="I12" s="61" t="str">
        <x:v>Contradictory or unresolved</x:v>
      </x:c>
      <x:c r="J12" s="61" t="str">
        <x:v>Reference-standard owner / Quality</x:v>
      </x:c>
      <x:c r="K12" s="67" t="str">
        <x:f>IF(A12="","",IF(OR(B12="",C12="",D12="",E12="",F12="",G12="",H12="",I12="",J12=""),"Incomplete",IF(E12="Evidence required","Evidence required",IF(OR(I12="Hypothesis",I12="Observed association",I12="Contradictory or unresolved"),"Review required","Ready for qualified review"))))</x:f>
        <x:v>Review required</x:v>
      </x:c>
    </x:row>
    <x:row r="13">
      <x:c r="A13" s="61" t="str">
        <x:v>EVD-008</x:v>
      </x:c>
      <x:c r="B13" s="61" t="str">
        <x:v>Validation study</x:v>
      </x:c>
      <x:c r="C13" s="61" t="str">
        <x:v>Fictional potency method validation and transfer package</x:v>
      </x:c>
      <x:c r="D13" s="61" t="str">
        <x:v>FIC-POT-VAL-TR-2026</x:v>
      </x:c>
      <x:c r="E13" s="61" t="str">
        <x:v>Controlled fictional record reference</x:v>
      </x:c>
      <x:c r="F13" s="61" t="str">
        <x:v>MTH-005 current and receiving-lab scope</x:v>
      </x:c>
      <x:c r="G13" s="61" t="str">
        <x:v>Method performance, reportability, reference/cell/reagent controls, and selected transfer runs</x:v>
      </x:c>
      <x:c r="H13" s="61" t="str">
        <x:v>Transfer acceptance, site variance, new reference relationship, and some representative samples remain open</x:v>
      </x:c>
      <x:c r="I13" s="61" t="str">
        <x:v>Contradictory or unresolved</x:v>
      </x:c>
      <x:c r="J13" s="61" t="str">
        <x:v>Bioassay / Statistics / QC / Validation</x:v>
      </x:c>
      <x:c r="K13" s="67" t="str">
        <x:f>IF(A13="","",IF(OR(B13="",C13="",D13="",E13="",F13="",G13="",H13="",I13="",J13=""),"Incomplete",IF(E13="Evidence required","Evidence required",IF(OR(I13="Hypothesis",I13="Observed association",I13="Contradictory or unresolved"),"Review required","Ready for qualified review"))))</x:f>
        <x:v>Review required</x:v>
      </x:c>
    </x:row>
    <x:row r="14">
      <x:c r="A14" s="61" t="str">
        <x:v>EVD-009</x:v>
      </x:c>
      <x:c r="B14" s="61" t="str">
        <x:v>Regulatory / quality record</x:v>
      </x:c>
      <x:c r="C14" s="61" t="str">
        <x:v>Fictional integrated change assessment</x:v>
      </x:c>
      <x:c r="D14" s="61" t="str">
        <x:v>FIC-CHG-ACS-01</x:v>
      </x:c>
      <x:c r="E14" s="61" t="str">
        <x:v>Controlled fictional record reference</x:v>
      </x:c>
      <x:c r="F14" s="61" t="str">
        <x:v>Defined resin, reference, transfer, and specification questions</x:v>
      </x:c>
      <x:c r="G14" s="61" t="str">
        <x:v>Change scope, impact questions, owners, and proposed governance</x:v>
      </x:c>
      <x:c r="H14" s="61" t="str">
        <x:v>No comparability, specification, validation, transfer, filing, or implementation approval</x:v>
      </x:c>
      <x:c r="I14" s="61" t="str">
        <x:v>Multi-source support</x:v>
      </x:c>
      <x:c r="J14" s="61" t="str">
        <x:v>Change owner / Quality / Regulatory CMC</x:v>
      </x:c>
      <x:c r="K14" s="67" t="str">
        <x:f>IF(A14="","",IF(OR(B14="",C14="",D14="",E14="",F14="",G14="",H14="",I14="",J14=""),"Incomplete",IF(E14="Evidence required","Evidence required",IF(OR(I14="Hypothesis",I14="Observed association",I14="Contradictory or unresolved"),"Review required","Ready for qualified review"))))</x:f>
        <x:v>Ready for qualified review</x:v>
      </x:c>
    </x:row>
    <x:row r="15">
      <x:c r="A15" s="61" t="str">
        <x:v>EVD-010</x:v>
      </x:c>
      <x:c r="B15" s="61" t="str">
        <x:v>Stability data</x:v>
      </x:c>
      <x:c r="C15" s="61" t="str">
        <x:v>Fictional product/reference monitoring and stability package</x:v>
      </x:c>
      <x:c r="D15" s="61" t="str">
        <x:v>FIC-STAB-REF-2026</x:v>
      </x:c>
      <x:c r="E15" s="61" t="str">
        <x:v>Controlled fictional record reference</x:v>
      </x:c>
      <x:c r="F15" s="61" t="str">
        <x:v>Current product and reference lots within controlled scope</x:v>
      </x:c>
      <x:c r="G15" s="61" t="str">
        <x:v>Selected product and reference stability/monitoring evidence</x:v>
      </x:c>
      <x:c r="H15" s="61" t="str">
        <x:v>Proposed reference and post-change commitment scope remains open</x:v>
      </x:c>
      <x:c r="I15" s="61" t="str">
        <x:v>Designed-study support</x:v>
      </x:c>
      <x:c r="J15" s="61" t="str">
        <x:v>Stability / Reference owner</x:v>
      </x:c>
      <x:c r="K15" s="67" t="str">
        <x:f>IF(A15="","",IF(OR(B15="",C15="",D15="",E15="",F15="",G15="",H15="",I15="",J15=""),"Incomplete",IF(E15="Evidence required","Evidence required",IF(OR(I15="Hypothesis",I15="Observed association",I15="Contradictory or unresolved"),"Review required","Ready for qualified review"))))</x:f>
        <x:v>Ready for qualified review</x:v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7" t="str">
        <x:f>IF(A16="","",IF(OR(B16="",C16="",D16="",E16="",F16="",G16="",H16="",I16="",J16=""),"Incomplete",IF(E16="Evidence required","Evidence required",IF(OR(I16="Hypothesis",I16="Observed association",I16="Contradictory or unresolved"),"Review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7" t="str">
        <x:f>IF(A17="","",IF(OR(B17="",C17="",D17="",E17="",F17="",G17="",H17="",I17="",J17=""),"Incomplete",IF(E17="Evidence required","Evidence required",IF(OR(I17="Hypothesis",I17="Observed association",I17="Contradictory or unresolved"),"Review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7" t="str">
        <x:f>IF(A18="","",IF(OR(B18="",C18="",D18="",E18="",F18="",G18="",H18="",I18="",J18=""),"Incomplete",IF(E18="Evidence required","Evidence required",IF(OR(I18="Hypothesis",I18="Observed association",I18="Contradictory or unresolved"),"Review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7" t="str">
        <x:f>IF(A19="","",IF(OR(B19="",C19="",D19="",E19="",F19="",G19="",H19="",I19="",J19=""),"Incomplete",IF(E19="Evidence required","Evidence required",IF(OR(I19="Hypothesis",I19="Observed association",I19="Contradictory or unresolved"),"Review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7" t="str">
        <x:f>IF(A20="","",IF(OR(B20="",C20="",D20="",E20="",F20="",G20="",H20="",I20="",J20=""),"Incomplete",IF(E20="Evidence required","Evidence required",IF(OR(I20="Hypothesis",I20="Observed association",I20="Contradictory or unresolved"),"Review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7" t="str">
        <x:f>IF(A21="","",IF(OR(B21="",C21="",D21="",E21="",F21="",G21="",H21="",I21="",J21=""),"Incomplete",IF(E21="Evidence required","Evidence required",IF(OR(I21="Hypothesis",I21="Observed association",I21="Contradictory or unresolved"),"Review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7" t="str">
        <x:f>IF(A22="","",IF(OR(B22="",C22="",D22="",E22="",F22="",G22="",H22="",I22="",J22=""),"Incomplete",IF(E22="Evidence required","Evidence required",IF(OR(I22="Hypothesis",I22="Observed association",I22="Contradictory or unresolved"),"Review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7" t="str">
        <x:f>IF(A23="","",IF(OR(B23="",C23="",D23="",E23="",F23="",G23="",H23="",I23="",J23=""),"Incomplete",IF(E23="Evidence required","Evidence required",IF(OR(I23="Hypothesis",I23="Observed association",I23="Contradictory or unresolved"),"Review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7" t="str">
        <x:f>IF(A24="","",IF(OR(B24="",C24="",D24="",E24="",F24="",G24="",H24="",I24="",J24=""),"Incomplete",IF(E24="Evidence required","Evidence required",IF(OR(I24="Hypothesis",I24="Observed association",I24="Contradictory or unresolved"),"Review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7" t="str">
        <x:f>IF(A25="","",IF(OR(B25="",C25="",D25="",E25="",F25="",G25="",H25="",I25="",J25=""),"Incomplete",IF(E25="Evidence required","Evidence required",IF(OR(I25="Hypothesis",I25="Observed association",I25="Contradictory or unresolved"),"Review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7" t="str">
        <x:f>IF(A26="","",IF(OR(B26="",C26="",D26="",E26="",F26="",G26="",H26="",I26="",J26=""),"Incomplete",IF(E26="Evidence required","Evidence required",IF(OR(I26="Hypothesis",I26="Observed association",I26="Contradictory or unresolved"),"Review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7" t="str">
        <x:f>IF(A27="","",IF(OR(B27="",C27="",D27="",E27="",F27="",G27="",H27="",I27="",J27=""),"Incomplete",IF(E27="Evidence required","Evidence required",IF(OR(I27="Hypothesis",I27="Observed association",I27="Contradictory or unresolved"),"Review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7" t="str">
        <x:f>IF(A28="","",IF(OR(B28="",C28="",D28="",E28="",F28="",G28="",H28="",I28="",J28=""),"Incomplete",IF(E28="Evidence required","Evidence required",IF(OR(I28="Hypothesis",I28="Observed association",I28="Contradictory or unresolved"),"Review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7" t="str">
        <x:f>IF(A29="","",IF(OR(B29="",C29="",D29="",E29="",F29="",G29="",H29="",I29="",J29=""),"Incomplete",IF(E29="Evidence required","Evidence required",IF(OR(I29="Hypothesis",I29="Observed association",I29="Contradictory or unresolved"),"Review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7" t="str">
        <x:f>IF(A30="","",IF(OR(B30="",C30="",D30="",E30="",F30="",G30="",H30="",I30="",J30=""),"Incomplete",IF(E30="Evidence required","Evidence required",IF(OR(I30="Hypothesis",I30="Observed association",I30="Contradictory or unresolved"),"Review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7" t="str">
        <x:f>IF(A31="","",IF(OR(B31="",C31="",D31="",E31="",F31="",G31="",H31="",I31="",J31=""),"Incomplete",IF(E31="Evidence required","Evidence required",IF(OR(I31="Hypothesis",I31="Observed association",I31="Contradictory or unresolved"),"Review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7" t="str">
        <x:f>IF(A32="","",IF(OR(B32="",C32="",D32="",E32="",F32="",G32="",H32="",I32="",J32=""),"Incomplete",IF(E32="Evidence required","Evidence required",IF(OR(I32="Hypothesis",I32="Observed association",I32="Contradictory or unresolved"),"Review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7" t="str">
        <x:f>IF(A33="","",IF(OR(B33="",C33="",D33="",E33="",F33="",G33="",H33="",I33="",J33=""),"Incomplete",IF(E33="Evidence required","Evidence required",IF(OR(I33="Hypothesis",I33="Observed association",I33="Contradictory or unresolved"),"Review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7" t="str">
        <x:f>IF(A34="","",IF(OR(B34="",C34="",D34="",E34="",F34="",G34="",H34="",I34="",J34=""),"Incomplete",IF(E34="Evidence required","Evidence required",IF(OR(I34="Hypothesis",I34="Observed association",I34="Contradictory or unresolved"),"Review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7" t="str">
        <x:f>IF(A35="","",IF(OR(B35="",C35="",D35="",E35="",F35="",G35="",H35="",I35="",J35=""),"Incomplete",IF(E35="Evidence required","Evidence required",IF(OR(I35="Hypothesis",I35="Observed association",I35="Contradictory or unresolved"),"Review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7" t="str">
        <x:f>IF(A36="","",IF(OR(B36="",C36="",D36="",E36="",F36="",G36="",H36="",I36="",J36=""),"Incomplete",IF(E36="Evidence required","Evidence required",IF(OR(I36="Hypothesis",I36="Observed association",I36="Contradictory or unresolved"),"Review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7" t="str">
        <x:f>IF(A37="","",IF(OR(B37="",C37="",D37="",E37="",F37="",G37="",H37="",I37="",J37=""),"Incomplete",IF(E37="Evidence required","Evidence required",IF(OR(I37="Hypothesis",I37="Observed association",I37="Contradictory or unresolved"),"Review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7" t="str">
        <x:f>IF(A38="","",IF(OR(B38="",C38="",D38="",E38="",F38="",G38="",H38="",I38="",J38=""),"Incomplete",IF(E38="Evidence required","Evidence required",IF(OR(I38="Hypothesis",I38="Observed association",I38="Contradictory or unresolved"),"Review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7" t="str">
        <x:f>IF(A39="","",IF(OR(B39="",C39="",D39="",E39="",F39="",G39="",H39="",I39="",J39=""),"Incomplete",IF(E39="Evidence required","Evidence required",IF(OR(I39="Hypothesis",I39="Observed association",I39="Contradictory or unresolved"),"Review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7" t="str">
        <x:f>IF(A40="","",IF(OR(B40="",C40="",D40="",E40="",F40="",G40="",H40="",I40="",J40=""),"Incomplete",IF(E40="Evidence required","Evidence required",IF(OR(I40="Hypothesis",I40="Observed association",I40="Contradictory or unresolved"),"Review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7" t="str">
        <x:f>IF(A41="","",IF(OR(B41="",C41="",D41="",E41="",F41="",G41="",H41="",I41="",J41=""),"Incomplete",IF(E41="Evidence required","Evidence required",IF(OR(I41="Hypothesis",I41="Observed association",I41="Contradictory or unresolved"),"Review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7" t="str">
        <x:f>IF(A42="","",IF(OR(B42="",C42="",D42="",E42="",F42="",G42="",H42="",I42="",J42=""),"Incomplete",IF(E42="Evidence required","Evidence required",IF(OR(I42="Hypothesis",I42="Observed association",I42="Contradictory or unresolved"),"Review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7" t="str">
        <x:f>IF(A43="","",IF(OR(B43="",C43="",D43="",E43="",F43="",G43="",H43="",I43="",J43=""),"Incomplete",IF(E43="Evidence required","Evidence required",IF(OR(I43="Hypothesis",I43="Observed association",I43="Contradictory or unresolved"),"Review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7" t="str">
        <x:f>IF(A44="","",IF(OR(B44="",C44="",D44="",E44="",F44="",G44="",H44="",I44="",J44=""),"Incomplete",IF(E44="Evidence required","Evidence required",IF(OR(I44="Hypothesis",I44="Observed association",I44="Contradictory or unresolved"),"Review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7" t="str">
        <x:f>IF(A45="","",IF(OR(B45="",C45="",D45="",E45="",F45="",G45="",H45="",I45="",J45=""),"Incomplete",IF(E45="Evidence required","Evidence required",IF(OR(I45="Hypothesis",I45="Observed association",I45="Contradictory or unresolved"),"Review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7" t="str">
        <x:f>IF(A46="","",IF(OR(B46="",C46="",D46="",E46="",F46="",G46="",H46="",I46="",J46=""),"Incomplete",IF(E46="Evidence required","Evidence required",IF(OR(I46="Hypothesis",I46="Observed association",I46="Contradictory or unresolved"),"Review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7" t="str">
        <x:f>IF(A47="","",IF(OR(B47="",C47="",D47="",E47="",F47="",G47="",H47="",I47="",J47=""),"Incomplete",IF(E47="Evidence required","Evidence required",IF(OR(I47="Hypothesis",I47="Observed association",I47="Contradictory or unresolved"),"Review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7" t="str">
        <x:f>IF(A48="","",IF(OR(B48="",C48="",D48="",E48="",F48="",G48="",H48="",I48="",J48=""),"Incomplete",IF(E48="Evidence required","Evidence required",IF(OR(I48="Hypothesis",I48="Observed association",I48="Contradictory or unresolved"),"Review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7" t="str">
        <x:f>IF(A49="","",IF(OR(B49="",C49="",D49="",E49="",F49="",G49="",H49="",I49="",J49=""),"Incomplete",IF(E49="Evidence required","Evidence required",IF(OR(I49="Hypothesis",I49="Observed association",I49="Contradictory or unresolved"),"Review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7" t="str">
        <x:f>IF(A50="","",IF(OR(B50="",C50="",D50="",E50="",F50="",G50="",H50="",I50="",J50=""),"Incomplete",IF(E50="Evidence required","Evidence required",IF(OR(I50="Hypothesis",I50="Observed association",I50="Contradictory or unresolved"),"Review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7" t="str">
        <x:f>IF(A51="","",IF(OR(B51="",C51="",D51="",E51="",F51="",G51="",H51="",I51="",J51=""),"Incomplete",IF(E51="Evidence required","Evidence required",IF(OR(I51="Hypothesis",I51="Observed association",I51="Contradictory or unresolved"),"Review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7" t="str">
        <x:f>IF(A52="","",IF(OR(B52="",C52="",D52="",E52="",F52="",G52="",H52="",I52="",J52=""),"Incomplete",IF(E52="Evidence required","Evidence required",IF(OR(I52="Hypothesis",I52="Observed association",I52="Contradictory or unresolved"),"Review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7" t="str">
        <x:f>IF(A53="","",IF(OR(B53="",C53="",D53="",E53="",F53="",G53="",H53="",I53="",J53=""),"Incomplete",IF(E53="Evidence required","Evidence required",IF(OR(I53="Hypothesis",I53="Observed association",I53="Contradictory or unresolved"),"Review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7" t="str">
        <x:f>IF(A54="","",IF(OR(B54="",C54="",D54="",E54="",F54="",G54="",H54="",I54="",J54=""),"Incomplete",IF(E54="Evidence required","Evidence required",IF(OR(I54="Hypothesis",I54="Observed association",I54="Contradictory or unresolved"),"Review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7" t="str">
        <x:f>IF(A55="","",IF(OR(B55="",C55="",D55="",E55="",F55="",G55="",H55="",I55="",J55=""),"Incomplete",IF(E55="Evidence required","Evidence required",IF(OR(I55="Hypothesis",I55="Observed association",I55="Contradictory or unresolved"),"Review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7" t="str">
        <x:f>IF(A56="","",IF(OR(B56="",C56="",D56="",E56="",F56="",G56="",H56="",I56="",J56=""),"Incomplete",IF(E56="Evidence required","Evidence required",IF(OR(I56="Hypothesis",I56="Observed association",I56="Contradictory or unresolved"),"Review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7" t="str">
        <x:f>IF(A57="","",IF(OR(B57="",C57="",D57="",E57="",F57="",G57="",H57="",I57="",J57=""),"Incomplete",IF(E57="Evidence required","Evidence required",IF(OR(I57="Hypothesis",I57="Observed association",I57="Contradictory or unresolved"),"Review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7" t="str">
        <x:f>IF(A58="","",IF(OR(B58="",C58="",D58="",E58="",F58="",G58="",H58="",I58="",J58=""),"Incomplete",IF(E58="Evidence required","Evidence required",IF(OR(I58="Hypothesis",I58="Observed association",I58="Contradictory or unresolved"),"Review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7" t="str">
        <x:f>IF(A59="","",IF(OR(B59="",C59="",D59="",E59="",F59="",G59="",H59="",I59="",J59=""),"Incomplete",IF(E59="Evidence required","Evidence required",IF(OR(I59="Hypothesis",I59="Observed association",I59="Contradictory or unresolved"),"Review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7" t="str">
        <x:f>IF(A60="","",IF(OR(B60="",C60="",D60="",E60="",F60="",G60="",H60="",I60="",J60=""),"Incomplete",IF(E60="Evidence required","Evidence required",IF(OR(I60="Hypothesis",I60="Observed association",I60="Contradictory or unresolved"),"Review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7" t="str">
        <x:f>IF(A61="","",IF(OR(B61="",C61="",D61="",E61="",F61="",G61="",H61="",I61="",J61=""),"Incomplete",IF(E61="Evidence required","Evidence required",IF(OR(I61="Hypothesis",I61="Observed association",I61="Contradictory or unresolved"),"Review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7" t="str">
        <x:f>IF(A62="","",IF(OR(B62="",C62="",D62="",E62="",F62="",G62="",H62="",I62="",J62=""),"Incomplete",IF(E62="Evidence required","Evidence required",IF(OR(I62="Hypothesis",I62="Observed association",I62="Contradictory or unresolved"),"Review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7" t="str">
        <x:f>IF(A63="","",IF(OR(B63="",C63="",D63="",E63="",F63="",G63="",H63="",I63="",J63=""),"Incomplete",IF(E63="Evidence required","Evidence required",IF(OR(I63="Hypothesis",I63="Observed association",I63="Contradictory or unresolved"),"Review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7" t="str">
        <x:f>IF(A64="","",IF(OR(B64="",C64="",D64="",E64="",F64="",G64="",H64="",I64="",J64=""),"Incomplete",IF(E64="Evidence required","Evidence required",IF(OR(I64="Hypothesis",I64="Observed association",I64="Contradictory or unresolved"),"Review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7" t="str">
        <x:f>IF(A65="","",IF(OR(B65="",C65="",D65="",E65="",F65="",G65="",H65="",I65="",J65=""),"Incomplete",IF(E65="Evidence required","Evidence required",IF(OR(I65="Hypothesis",I65="Observed association",I65="Contradictory or unresolved"),"Review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7" t="str">
        <x:f>IF(A66="","",IF(OR(B66="",C66="",D66="",E66="",F66="",G66="",H66="",I66="",J66=""),"Incomplete",IF(E66="Evidence required","Evidence required",IF(OR(I66="Hypothesis",I66="Observed association",I66="Contradictory or unresolved"),"Review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7" t="str">
        <x:f>IF(A67="","",IF(OR(B67="",C67="",D67="",E67="",F67="",G67="",H67="",I67="",J67=""),"Incomplete",IF(E67="Evidence required","Evidence required",IF(OR(I67="Hypothesis",I67="Observed association",I67="Contradictory or unresolved"),"Review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7" t="str">
        <x:f>IF(A68="","",IF(OR(B68="",C68="",D68="",E68="",F68="",G68="",H68="",I68="",J68=""),"Incomplete",IF(E68="Evidence required","Evidence required",IF(OR(I68="Hypothesis",I68="Observed association",I68="Contradictory or unresolved"),"Review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7" t="str">
        <x:f>IF(A69="","",IF(OR(B69="",C69="",D69="",E69="",F69="",G69="",H69="",I69="",J69=""),"Incomplete",IF(E69="Evidence required","Evidence required",IF(OR(I69="Hypothesis",I69="Observed association",I69="Contradictory or unresolved"),"Review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7" t="str">
        <x:f>IF(A70="","",IF(OR(B70="",C70="",D70="",E70="",F70="",G70="",H70="",I70="",J70=""),"Incomplete",IF(E70="Evidence required","Evidence required",IF(OR(I70="Hypothesis",I70="Observed association",I70="Contradictory or unresolved"),"Review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7" t="str">
        <x:f>IF(A71="","",IF(OR(B71="",C71="",D71="",E71="",F71="",G71="",H71="",I71="",J71=""),"Incomplete",IF(E71="Evidence required","Evidence required",IF(OR(I71="Hypothesis",I71="Observed association",I71="Contradictory or unresolved"),"Review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7" t="str">
        <x:f>IF(A72="","",IF(OR(B72="",C72="",D72="",E72="",F72="",G72="",H72="",I72="",J72=""),"Incomplete",IF(E72="Evidence required","Evidence required",IF(OR(I72="Hypothesis",I72="Observed association",I72="Contradictory or unresolved"),"Review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7" t="str">
        <x:f>IF(A73="","",IF(OR(B73="",C73="",D73="",E73="",F73="",G73="",H73="",I73="",J73=""),"Incomplete",IF(E73="Evidence required","Evidence required",IF(OR(I73="Hypothesis",I73="Observed association",I73="Contradictory or unresolved"),"Review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7" t="str">
        <x:f>IF(A74="","",IF(OR(B74="",C74="",D74="",E74="",F74="",G74="",H74="",I74="",J74=""),"Incomplete",IF(E74="Evidence required","Evidence required",IF(OR(I74="Hypothesis",I74="Observed association",I74="Contradictory or unresolved"),"Review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7" t="str">
        <x:f>IF(A75="","",IF(OR(B75="",C75="",D75="",E75="",F75="",G75="",H75="",I75="",J75=""),"Incomplete",IF(E75="Evidence required","Evidence required",IF(OR(I75="Hypothesis",I75="Observed association",I75="Contradictory or unresolved"),"Review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7" t="str">
        <x:f>IF(A76="","",IF(OR(B76="",C76="",D76="",E76="",F76="",G76="",H76="",I76="",J76=""),"Incomplete",IF(E76="Evidence required","Evidence required",IF(OR(I76="Hypothesis",I76="Observed association",I76="Contradictory or unresolved"),"Review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7" t="str">
        <x:f>IF(A77="","",IF(OR(B77="",C77="",D77="",E77="",F77="",G77="",H77="",I77="",J77=""),"Incomplete",IF(E77="Evidence required","Evidence required",IF(OR(I77="Hypothesis",I77="Observed association",I77="Contradictory or unresolved"),"Review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7" t="str">
        <x:f>IF(A78="","",IF(OR(B78="",C78="",D78="",E78="",F78="",G78="",H78="",I78="",J78=""),"Incomplete",IF(E78="Evidence required","Evidence required",IF(OR(I78="Hypothesis",I78="Observed association",I78="Contradictory or unresolved"),"Review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7" t="str">
        <x:f>IF(A79="","",IF(OR(B79="",C79="",D79="",E79="",F79="",G79="",H79="",I79="",J79=""),"Incomplete",IF(E79="Evidence required","Evidence required",IF(OR(I79="Hypothesis",I79="Observed association",I79="Contradictory or unresolved"),"Review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7" t="str">
        <x:f>IF(A80="","",IF(OR(B80="",C80="",D80="",E80="",F80="",G80="",H80="",I80="",J80=""),"Incomplete",IF(E80="Evidence required","Evidence required",IF(OR(I80="Hypothesis",I80="Observed association",I80="Contradictory or unresolved"),"Review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7" t="str">
        <x:f>IF(A81="","",IF(OR(B81="",C81="",D81="",E81="",F81="",G81="",H81="",I81="",J81=""),"Incomplete",IF(E81="Evidence required","Evidence required",IF(OR(I81="Hypothesis",I81="Observed association",I81="Contradictory or unresolved"),"Review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7" t="str">
        <x:f>IF(A82="","",IF(OR(B82="",C82="",D82="",E82="",F82="",G82="",H82="",I82="",J82=""),"Incomplete",IF(E82="Evidence required","Evidence required",IF(OR(I82="Hypothesis",I82="Observed association",I82="Contradictory or unresolved"),"Review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7" t="str">
        <x:f>IF(A83="","",IF(OR(B83="",C83="",D83="",E83="",F83="",G83="",H83="",I83="",J83=""),"Incomplete",IF(E83="Evidence required","Evidence required",IF(OR(I83="Hypothesis",I83="Observed association",I83="Contradictory or unresolved"),"Review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7" t="str">
        <x:f>IF(A84="","",IF(OR(B84="",C84="",D84="",E84="",F84="",G84="",H84="",I84="",J84=""),"Incomplete",IF(E84="Evidence required","Evidence required",IF(OR(I84="Hypothesis",I84="Observed association",I84="Contradictory or unresolved"),"Review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7" t="str">
        <x:f>IF(A85="","",IF(OR(B85="",C85="",D85="",E85="",F85="",G85="",H85="",I85="",J85=""),"Incomplete",IF(E85="Evidence required","Evidence required",IF(OR(I85="Hypothesis",I85="Observed association",I85="Contradictory or unresolved"),"Review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7" t="str">
        <x:f>IF(A86="","",IF(OR(B86="",C86="",D86="",E86="",F86="",G86="",H86="",I86="",J86=""),"Incomplete",IF(E86="Evidence required","Evidence required",IF(OR(I86="Hypothesis",I86="Observed association",I86="Contradictory or unresolved"),"Review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7" t="str">
        <x:f>IF(A87="","",IF(OR(B87="",C87="",D87="",E87="",F87="",G87="",H87="",I87="",J87=""),"Incomplete",IF(E87="Evidence required","Evidence required",IF(OR(I87="Hypothesis",I87="Observed association",I87="Contradictory or unresolved"),"Review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7" t="str">
        <x:f>IF(A88="","",IF(OR(B88="",C88="",D88="",E88="",F88="",G88="",H88="",I88="",J88=""),"Incomplete",IF(E88="Evidence required","Evidence required",IF(OR(I88="Hypothesis",I88="Observed association",I88="Contradictory or unresolved"),"Review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7" t="str">
        <x:f>IF(A89="","",IF(OR(B89="",C89="",D89="",E89="",F89="",G89="",H89="",I89="",J89=""),"Incomplete",IF(E89="Evidence required","Evidence required",IF(OR(I89="Hypothesis",I89="Observed association",I89="Contradictory or unresolved"),"Review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7" t="str">
        <x:f>IF(A90="","",IF(OR(B90="",C90="",D90="",E90="",F90="",G90="",H90="",I90="",J90=""),"Incomplete",IF(E90="Evidence required","Evidence required",IF(OR(I90="Hypothesis",I90="Observed association",I90="Contradictory or unresolved"),"Review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7" t="str">
        <x:f>IF(A91="","",IF(OR(B91="",C91="",D91="",E91="",F91="",G91="",H91="",I91="",J91=""),"Incomplete",IF(E91="Evidence required","Evidence required",IF(OR(I91="Hypothesis",I91="Observed association",I91="Contradictory or unresolved"),"Review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7" t="str">
        <x:f>IF(A92="","",IF(OR(B92="",C92="",D92="",E92="",F92="",G92="",H92="",I92="",J92=""),"Incomplete",IF(E92="Evidence required","Evidence required",IF(OR(I92="Hypothesis",I92="Observed association",I92="Contradictory or unresolved"),"Review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7" t="str">
        <x:f>IF(A93="","",IF(OR(B93="",C93="",D93="",E93="",F93="",G93="",H93="",I93="",J93=""),"Incomplete",IF(E93="Evidence required","Evidence required",IF(OR(I93="Hypothesis",I93="Observed association",I93="Contradictory or unresolved"),"Review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7" t="str">
        <x:f>IF(A94="","",IF(OR(B94="",C94="",D94="",E94="",F94="",G94="",H94="",I94="",J94=""),"Incomplete",IF(E94="Evidence required","Evidence required",IF(OR(I94="Hypothesis",I94="Observed association",I94="Contradictory or unresolved"),"Review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7" t="str">
        <x:f>IF(A95="","",IF(OR(B95="",C95="",D95="",E95="",F95="",G95="",H95="",I95="",J95=""),"Incomplete",IF(E95="Evidence required","Evidence required",IF(OR(I95="Hypothesis",I95="Observed association",I95="Contradictory or unresolved"),"Review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7" t="str">
        <x:f>IF(A96="","",IF(OR(B96="",C96="",D96="",E96="",F96="",G96="",H96="",I96="",J96=""),"Incomplete",IF(E96="Evidence required","Evidence required",IF(OR(I96="Hypothesis",I96="Observed association",I96="Contradictory or unresolved"),"Review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7" t="str">
        <x:f>IF(A97="","",IF(OR(B97="",C97="",D97="",E97="",F97="",G97="",H97="",I97="",J97=""),"Incomplete",IF(E97="Evidence required","Evidence required",IF(OR(I97="Hypothesis",I97="Observed association",I97="Contradictory or unresolved"),"Review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7" t="str">
        <x:f>IF(A98="","",IF(OR(B98="",C98="",D98="",E98="",F98="",G98="",H98="",I98="",J98=""),"Incomplete",IF(E98="Evidence required","Evidence required",IF(OR(I98="Hypothesis",I98="Observed association",I98="Contradictory or unresolved"),"Review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7" t="str">
        <x:f>IF(A99="","",IF(OR(B99="",C99="",D99="",E99="",F99="",G99="",H99="",I99="",J99=""),"Incomplete",IF(E99="Evidence required","Evidence required",IF(OR(I99="Hypothesis",I99="Observed association",I99="Contradictory or unresolved"),"Review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7" t="str">
        <x:f>IF(A100="","",IF(OR(B100="",C100="",D100="",E100="",F100="",G100="",H100="",I100="",J100=""),"Incomplete",IF(E100="Evidence required","Evidence required",IF(OR(I100="Hypothesis",I100="Observed association",I100="Contradictory or unresolved"),"Review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7" t="str">
        <x:f>IF(A101="","",IF(OR(B101="",C101="",D101="",E101="",F101="",G101="",H101="",I101="",J101=""),"Incomplete",IF(E101="Evidence required","Evidence required",IF(OR(I101="Hypothesis",I101="Observed association",I101="Contradictory or unresolved"),"Review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7" t="str">
        <x:f>IF(A102="","",IF(OR(B102="",C102="",D102="",E102="",F102="",G102="",H102="",I102="",J102=""),"Incomplete",IF(E102="Evidence required","Evidence required",IF(OR(I102="Hypothesis",I102="Observed association",I102="Contradictory or unresolved"),"Review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7" t="str">
        <x:f>IF(A103="","",IF(OR(B103="",C103="",D103="",E103="",F103="",G103="",H103="",I103="",J103=""),"Incomplete",IF(E103="Evidence required","Evidence required",IF(OR(I103="Hypothesis",I103="Observed association",I103="Contradictory or unresolved"),"Review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7" t="str">
        <x:f>IF(A104="","",IF(OR(B104="",C104="",D104="",E104="",F104="",G104="",H104="",I104="",J104=""),"Incomplete",IF(E104="Evidence required","Evidence required",IF(OR(I104="Hypothesis",I104="Observed association",I104="Contradictory or unresolved"),"Review required","Ready for qualified review"))))</x:f>
      </x:c>
    </x:row>
    <x:row r="105">
      <x:c r="A105" s="61"/>
      <x:c r="B105" s="61"/>
      <x:c r="C105" s="61"/>
      <x:c r="D105" s="61"/>
      <x:c r="E105" s="61"/>
      <x:c r="F105" s="61"/>
      <x:c r="G105" s="61"/>
      <x:c r="H105" s="61"/>
      <x:c r="I105" s="61"/>
      <x:c r="J105" s="61"/>
      <x:c r="K105" s="67" t="str">
        <x:f>IF(A105="","",IF(OR(B105="",C105="",D105="",E105="",F105="",G105="",H105="",I105="",J105=""),"Incomplete",IF(E105="Evidence required","Evidence required",IF(OR(I105="Hypothesis",I105="Observed association",I105="Contradictory or unresolved"),"Review required","Ready for qualified review"))))</x:f>
      </x:c>
    </x:row>
    <x:row r="106">
      <x:c r="A106" s="61"/>
      <x:c r="B106" s="61"/>
      <x:c r="C106" s="61"/>
      <x:c r="D106" s="61"/>
      <x:c r="E106" s="61"/>
      <x:c r="F106" s="61"/>
      <x:c r="G106" s="61"/>
      <x:c r="H106" s="61"/>
      <x:c r="I106" s="61"/>
      <x:c r="J106" s="61"/>
      <x:c r="K106" s="67" t="str">
        <x:f>IF(A106="","",IF(OR(B106="",C106="",D106="",E106="",F106="",G106="",H106="",I106="",J106=""),"Incomplete",IF(E106="Evidence required","Evidence required",IF(OR(I106="Hypothesis",I106="Observed association",I106="Contradictory or unresolved"),"Review required","Ready for qualified review"))))</x:f>
      </x:c>
    </x:row>
    <x:row r="107">
      <x:c r="A107" s="61"/>
      <x:c r="B107" s="61"/>
      <x:c r="C107" s="61"/>
      <x:c r="D107" s="61"/>
      <x:c r="E107" s="61"/>
      <x:c r="F107" s="61"/>
      <x:c r="G107" s="61"/>
      <x:c r="H107" s="61"/>
      <x:c r="I107" s="61"/>
      <x:c r="J107" s="61"/>
      <x:c r="K107" s="67" t="str">
        <x:f>IF(A107="","",IF(OR(B107="",C107="",D107="",E107="",F107="",G107="",H107="",I107="",J107=""),"Incomplete",IF(E107="Evidence required","Evidence required",IF(OR(I107="Hypothesis",I107="Observed association",I107="Contradictory or unresolved"),"Review required","Ready for qualified review"))))</x:f>
      </x:c>
    </x:row>
    <x:row r="108">
      <x:c r="A108" s="61"/>
      <x:c r="B108" s="61"/>
      <x:c r="C108" s="61"/>
      <x:c r="D108" s="61"/>
      <x:c r="E108" s="61"/>
      <x:c r="F108" s="61"/>
      <x:c r="G108" s="61"/>
      <x:c r="H108" s="61"/>
      <x:c r="I108" s="61"/>
      <x:c r="J108" s="61"/>
      <x:c r="K108" s="67" t="str">
        <x:f>IF(A108="","",IF(OR(B108="",C108="",D108="",E108="",F108="",G108="",H108="",I108="",J108=""),"Incomplete",IF(E108="Evidence required","Evidence required",IF(OR(I108="Hypothesis",I108="Observed association",I108="Contradictory or unresolved"),"Review required","Ready for qualified review"))))</x:f>
      </x:c>
    </x:row>
    <x:row r="109">
      <x:c r="A109" s="61"/>
      <x:c r="B109" s="61"/>
      <x:c r="C109" s="61"/>
      <x:c r="D109" s="61"/>
      <x:c r="E109" s="61"/>
      <x:c r="F109" s="61"/>
      <x:c r="G109" s="61"/>
      <x:c r="H109" s="61"/>
      <x:c r="I109" s="61"/>
      <x:c r="J109" s="61"/>
      <x:c r="K109" s="67" t="str">
        <x:f>IF(A109="","",IF(OR(B109="",C109="",D109="",E109="",F109="",G109="",H109="",I109="",J109=""),"Incomplete",IF(E109="Evidence required","Evidence required",IF(OR(I109="Hypothesis",I109="Observed association",I109="Contradictory or unresolved"),"Review required","Ready for qualified review"))))</x:f>
      </x:c>
    </x:row>
    <x:row r="110">
      <x:c r="A110" s="61"/>
      <x:c r="B110" s="61"/>
      <x:c r="C110" s="61"/>
      <x:c r="D110" s="61"/>
      <x:c r="E110" s="61"/>
      <x:c r="F110" s="61"/>
      <x:c r="G110" s="61"/>
      <x:c r="H110" s="61"/>
      <x:c r="I110" s="61"/>
      <x:c r="J110" s="61"/>
      <x:c r="K110" s="67" t="str">
        <x:f>IF(A110="","",IF(OR(B110="",C110="",D110="",E110="",F110="",G110="",H110="",I110="",J110=""),"Incomplete",IF(E110="Evidence required","Evidence required",IF(OR(I110="Hypothesis",I110="Observed association",I110="Contradictory or unresolved"),"Review required","Ready for qualified review"))))</x:f>
      </x:c>
    </x:row>
    <x:row r="111">
      <x:c r="A111" s="61"/>
      <x:c r="B111" s="61"/>
      <x:c r="C111" s="61"/>
      <x:c r="D111" s="61"/>
      <x:c r="E111" s="61"/>
      <x:c r="F111" s="61"/>
      <x:c r="G111" s="61"/>
      <x:c r="H111" s="61"/>
      <x:c r="I111" s="61"/>
      <x:c r="J111" s="61"/>
      <x:c r="K111" s="67" t="str">
        <x:f>IF(A111="","",IF(OR(B111="",C111="",D111="",E111="",F111="",G111="",H111="",I111="",J111=""),"Incomplete",IF(E111="Evidence required","Evidence required",IF(OR(I111="Hypothesis",I111="Observed association",I111="Contradictory or unresolved"),"Review required","Ready for qualified review"))))</x:f>
      </x:c>
    </x:row>
    <x:row r="112">
      <x:c r="A112" s="61"/>
      <x:c r="B112" s="61"/>
      <x:c r="C112" s="61"/>
      <x:c r="D112" s="61"/>
      <x:c r="E112" s="61"/>
      <x:c r="F112" s="61"/>
      <x:c r="G112" s="61"/>
      <x:c r="H112" s="61"/>
      <x:c r="I112" s="61"/>
      <x:c r="J112" s="61"/>
      <x:c r="K112" s="67" t="str">
        <x:f>IF(A112="","",IF(OR(B112="",C112="",D112="",E112="",F112="",G112="",H112="",I112="",J112=""),"Incomplete",IF(E112="Evidence required","Evidence required",IF(OR(I112="Hypothesis",I112="Observed association",I112="Contradictory or unresolved"),"Review required","Ready for qualified review"))))</x:f>
      </x:c>
    </x:row>
    <x:row r="113">
      <x:c r="A113" s="61"/>
      <x:c r="B113" s="61"/>
      <x:c r="C113" s="61"/>
      <x:c r="D113" s="61"/>
      <x:c r="E113" s="61"/>
      <x:c r="F113" s="61"/>
      <x:c r="G113" s="61"/>
      <x:c r="H113" s="61"/>
      <x:c r="I113" s="61"/>
      <x:c r="J113" s="61"/>
      <x:c r="K113" s="67" t="str">
        <x:f>IF(A113="","",IF(OR(B113="",C113="",D113="",E113="",F113="",G113="",H113="",I113="",J113=""),"Incomplete",IF(E113="Evidence required","Evidence required",IF(OR(I113="Hypothesis",I113="Observed association",I113="Contradictory or unresolved"),"Review required","Ready for qualified review"))))</x:f>
      </x:c>
    </x:row>
    <x:row r="114">
      <x:c r="A114" s="61"/>
      <x:c r="B114" s="61"/>
      <x:c r="C114" s="61"/>
      <x:c r="D114" s="61"/>
      <x:c r="E114" s="61"/>
      <x:c r="F114" s="61"/>
      <x:c r="G114" s="61"/>
      <x:c r="H114" s="61"/>
      <x:c r="I114" s="61"/>
      <x:c r="J114" s="61"/>
      <x:c r="K114" s="67" t="str">
        <x:f>IF(A114="","",IF(OR(B114="",C114="",D114="",E114="",F114="",G114="",H114="",I114="",J114=""),"Incomplete",IF(E114="Evidence required","Evidence required",IF(OR(I114="Hypothesis",I114="Observed association",I114="Contradictory or unresolved"),"Review required","Ready for qualified review"))))</x:f>
      </x:c>
    </x:row>
    <x:row r="115">
      <x:c r="A115" s="61"/>
      <x:c r="B115" s="61"/>
      <x:c r="C115" s="61"/>
      <x:c r="D115" s="61"/>
      <x:c r="E115" s="61"/>
      <x:c r="F115" s="61"/>
      <x:c r="G115" s="61"/>
      <x:c r="H115" s="61"/>
      <x:c r="I115" s="61"/>
      <x:c r="J115" s="61"/>
      <x:c r="K115" s="67" t="str">
        <x:f>IF(A115="","",IF(OR(B115="",C115="",D115="",E115="",F115="",G115="",H115="",I115="",J115=""),"Incomplete",IF(E115="Evidence required","Evidence required",IF(OR(I115="Hypothesis",I115="Observed association",I115="Contradictory or unresolved"),"Review required","Ready for qualified review"))))</x:f>
      </x:c>
    </x:row>
    <x:row r="116">
      <x:c r="A116" s="61"/>
      <x:c r="B116" s="61"/>
      <x:c r="C116" s="61"/>
      <x:c r="D116" s="61"/>
      <x:c r="E116" s="61"/>
      <x:c r="F116" s="61"/>
      <x:c r="G116" s="61"/>
      <x:c r="H116" s="61"/>
      <x:c r="I116" s="61"/>
      <x:c r="J116" s="61"/>
      <x:c r="K116" s="67" t="str">
        <x:f>IF(A116="","",IF(OR(B116="",C116="",D116="",E116="",F116="",G116="",H116="",I116="",J116=""),"Incomplete",IF(E116="Evidence required","Evidence required",IF(OR(I116="Hypothesis",I116="Observed association",I116="Contradictory or unresolved"),"Review required","Ready for qualified review"))))</x:f>
      </x:c>
    </x:row>
    <x:row r="117">
      <x:c r="A117" s="61"/>
      <x:c r="B117" s="61"/>
      <x:c r="C117" s="61"/>
      <x:c r="D117" s="61"/>
      <x:c r="E117" s="61"/>
      <x:c r="F117" s="61"/>
      <x:c r="G117" s="61"/>
      <x:c r="H117" s="61"/>
      <x:c r="I117" s="61"/>
      <x:c r="J117" s="61"/>
      <x:c r="K117" s="67" t="str">
        <x:f>IF(A117="","",IF(OR(B117="",C117="",D117="",E117="",F117="",G117="",H117="",I117="",J117=""),"Incomplete",IF(E117="Evidence required","Evidence required",IF(OR(I117="Hypothesis",I117="Observed association",I117="Contradictory or unresolved"),"Review required","Ready for qualified review"))))</x:f>
      </x:c>
    </x:row>
    <x:row r="118">
      <x:c r="A118" s="61"/>
      <x:c r="B118" s="61"/>
      <x:c r="C118" s="61"/>
      <x:c r="D118" s="61"/>
      <x:c r="E118" s="61"/>
      <x:c r="F118" s="61"/>
      <x:c r="G118" s="61"/>
      <x:c r="H118" s="61"/>
      <x:c r="I118" s="61"/>
      <x:c r="J118" s="61"/>
      <x:c r="K118" s="67" t="str">
        <x:f>IF(A118="","",IF(OR(B118="",C118="",D118="",E118="",F118="",G118="",H118="",I118="",J118=""),"Incomplete",IF(E118="Evidence required","Evidence required",IF(OR(I118="Hypothesis",I118="Observed association",I118="Contradictory or unresolved"),"Review required","Ready for qualified review"))))</x:f>
      </x:c>
    </x:row>
    <x:row r="119">
      <x:c r="A119" s="61"/>
      <x:c r="B119" s="61"/>
      <x:c r="C119" s="61"/>
      <x:c r="D119" s="61"/>
      <x:c r="E119" s="61"/>
      <x:c r="F119" s="61"/>
      <x:c r="G119" s="61"/>
      <x:c r="H119" s="61"/>
      <x:c r="I119" s="61"/>
      <x:c r="J119" s="61"/>
      <x:c r="K119" s="67" t="str">
        <x:f>IF(A119="","",IF(OR(B119="",C119="",D119="",E119="",F119="",G119="",H119="",I119="",J119=""),"Incomplete",IF(E119="Evidence required","Evidence required",IF(OR(I119="Hypothesis",I119="Observed association",I119="Contradictory or unresolved"),"Review required","Ready for qualified review"))))</x:f>
      </x:c>
    </x:row>
    <x:row r="120">
      <x:c r="A120" s="61"/>
      <x:c r="B120" s="61"/>
      <x:c r="C120" s="61"/>
      <x:c r="D120" s="61"/>
      <x:c r="E120" s="61"/>
      <x:c r="F120" s="61"/>
      <x:c r="G120" s="61"/>
      <x:c r="H120" s="61"/>
      <x:c r="I120" s="61"/>
      <x:c r="J120" s="61"/>
      <x:c r="K120" s="67" t="str">
        <x:f>IF(A120="","",IF(OR(B120="",C120="",D120="",E120="",F120="",G120="",H120="",I120="",J120=""),"Incomplete",IF(E120="Evidence required","Evidence required",IF(OR(I120="Hypothesis",I120="Observed association",I120="Contradictory or unresolved"),"Review required","Ready for qualified review"))))</x:f>
      </x:c>
    </x:row>
    <x:row r="121">
      <x:c r="A121" s="61"/>
      <x:c r="B121" s="61"/>
      <x:c r="C121" s="61"/>
      <x:c r="D121" s="61"/>
      <x:c r="E121" s="61"/>
      <x:c r="F121" s="61"/>
      <x:c r="G121" s="61"/>
      <x:c r="H121" s="61"/>
      <x:c r="I121" s="61"/>
      <x:c r="J121" s="61"/>
      <x:c r="K121" s="67" t="str">
        <x:f>IF(A121="","",IF(OR(B121="",C121="",D121="",E121="",F121="",G121="",H121="",I121="",J121=""),"Incomplete",IF(E121="Evidence required","Evidence required",IF(OR(I121="Hypothesis",I121="Observed association",I121="Contradictory or unresolved"),"Review required","Ready for qualified review"))))</x:f>
      </x:c>
    </x:row>
    <x:row r="122">
      <x:c r="A122" s="61"/>
      <x:c r="B122" s="61"/>
      <x:c r="C122" s="61"/>
      <x:c r="D122" s="61"/>
      <x:c r="E122" s="61"/>
      <x:c r="F122" s="61"/>
      <x:c r="G122" s="61"/>
      <x:c r="H122" s="61"/>
      <x:c r="I122" s="61"/>
      <x:c r="J122" s="61"/>
      <x:c r="K122" s="67" t="str">
        <x:f>IF(A122="","",IF(OR(B122="",C122="",D122="",E122="",F122="",G122="",H122="",I122="",J122=""),"Incomplete",IF(E122="Evidence required","Evidence required",IF(OR(I122="Hypothesis",I122="Observed association",I122="Contradictory or unresolved"),"Review required","Ready for qualified review"))))</x:f>
      </x:c>
    </x:row>
    <x:row r="123">
      <x:c r="A123" s="61"/>
      <x:c r="B123" s="61"/>
      <x:c r="C123" s="61"/>
      <x:c r="D123" s="61"/>
      <x:c r="E123" s="61"/>
      <x:c r="F123" s="61"/>
      <x:c r="G123" s="61"/>
      <x:c r="H123" s="61"/>
      <x:c r="I123" s="61"/>
      <x:c r="J123" s="61"/>
      <x:c r="K123" s="67" t="str">
        <x:f>IF(A123="","",IF(OR(B123="",C123="",D123="",E123="",F123="",G123="",H123="",I123="",J123=""),"Incomplete",IF(E123="Evidence required","Evidence required",IF(OR(I123="Hypothesis",I123="Observed association",I123="Contradictory or unresolved"),"Review required","Ready for qualified review"))))</x:f>
      </x:c>
    </x:row>
    <x:row r="124">
      <x:c r="A124" s="61"/>
      <x:c r="B124" s="61"/>
      <x:c r="C124" s="61"/>
      <x:c r="D124" s="61"/>
      <x:c r="E124" s="61"/>
      <x:c r="F124" s="61"/>
      <x:c r="G124" s="61"/>
      <x:c r="H124" s="61"/>
      <x:c r="I124" s="61"/>
      <x:c r="J124" s="61"/>
      <x:c r="K124" s="67" t="str">
        <x:f>IF(A124="","",IF(OR(B124="",C124="",D124="",E124="",F124="",G124="",H124="",I124="",J124=""),"Incomplete",IF(E124="Evidence required","Evidence required",IF(OR(I124="Hypothesis",I124="Observed association",I124="Contradictory or unresolved"),"Review required","Ready for qualified review"))))</x:f>
      </x:c>
    </x:row>
    <x:row r="125">
      <x:c r="A125" s="61"/>
      <x:c r="B125" s="61"/>
      <x:c r="C125" s="61"/>
      <x:c r="D125" s="61"/>
      <x:c r="E125" s="61"/>
      <x:c r="F125" s="61"/>
      <x:c r="G125" s="61"/>
      <x:c r="H125" s="61"/>
      <x:c r="I125" s="61"/>
      <x:c r="J125" s="61"/>
      <x:c r="K125" s="67" t="str">
        <x:f>IF(A125="","",IF(OR(B125="",C125="",D125="",E125="",F125="",G125="",H125="",I125="",J125=""),"Incomplete",IF(E125="Evidence required","Evidence required",IF(OR(I125="Hypothesis",I125="Observed association",I125="Contradictory or unresolved"),"Review required","Ready for qualified review"))))</x:f>
      </x:c>
    </x:row>
    <x:row r="126">
      <x:c r="A126" s="61"/>
      <x:c r="B126" s="61"/>
      <x:c r="C126" s="61"/>
      <x:c r="D126" s="61"/>
      <x:c r="E126" s="61"/>
      <x:c r="F126" s="61"/>
      <x:c r="G126" s="61"/>
      <x:c r="H126" s="61"/>
      <x:c r="I126" s="61"/>
      <x:c r="J126" s="61"/>
      <x:c r="K126" s="67" t="str">
        <x:f>IF(A126="","",IF(OR(B126="",C126="",D126="",E126="",F126="",G126="",H126="",I126="",J126=""),"Incomplete",IF(E126="Evidence required","Evidence required",IF(OR(I126="Hypothesis",I126="Observed association",I126="Contradictory or unresolved"),"Review required","Ready for qualified review"))))</x:f>
      </x:c>
    </x:row>
    <x:row r="127">
      <x:c r="A127" s="61"/>
      <x:c r="B127" s="61"/>
      <x:c r="C127" s="61"/>
      <x:c r="D127" s="61"/>
      <x:c r="E127" s="61"/>
      <x:c r="F127" s="61"/>
      <x:c r="G127" s="61"/>
      <x:c r="H127" s="61"/>
      <x:c r="I127" s="61"/>
      <x:c r="J127" s="61"/>
      <x:c r="K127" s="67" t="str">
        <x:f>IF(A127="","",IF(OR(B127="",C127="",D127="",E127="",F127="",G127="",H127="",I127="",J127=""),"Incomplete",IF(E127="Evidence required","Evidence required",IF(OR(I127="Hypothesis",I127="Observed association",I127="Contradictory or unresolved"),"Review required","Ready for qualified review"))))</x:f>
      </x:c>
    </x:row>
    <x:row r="128">
      <x:c r="A128" s="61"/>
      <x:c r="B128" s="61"/>
      <x:c r="C128" s="61"/>
      <x:c r="D128" s="61"/>
      <x:c r="E128" s="61"/>
      <x:c r="F128" s="61"/>
      <x:c r="G128" s="61"/>
      <x:c r="H128" s="61"/>
      <x:c r="I128" s="61"/>
      <x:c r="J128" s="61"/>
      <x:c r="K128" s="67" t="str">
        <x:f>IF(A128="","",IF(OR(B128="",C128="",D128="",E128="",F128="",G128="",H128="",I128="",J128=""),"Incomplete",IF(E128="Evidence required","Evidence required",IF(OR(I128="Hypothesis",I128="Observed association",I128="Contradictory or unresolved"),"Review required","Ready for qualified review"))))</x:f>
      </x:c>
    </x:row>
    <x:row r="129">
      <x:c r="A129" s="61"/>
      <x:c r="B129" s="61"/>
      <x:c r="C129" s="61"/>
      <x:c r="D129" s="61"/>
      <x:c r="E129" s="61"/>
      <x:c r="F129" s="61"/>
      <x:c r="G129" s="61"/>
      <x:c r="H129" s="61"/>
      <x:c r="I129" s="61"/>
      <x:c r="J129" s="61"/>
      <x:c r="K129" s="67" t="str">
        <x:f>IF(A129="","",IF(OR(B129="",C129="",D129="",E129="",F129="",G129="",H129="",I129="",J129=""),"Incomplete",IF(E129="Evidence required","Evidence required",IF(OR(I129="Hypothesis",I129="Observed association",I129="Contradictory or unresolved"),"Review required","Ready for qualified review"))))</x:f>
      </x:c>
    </x:row>
    <x:row r="130">
      <x:c r="A130" s="61"/>
      <x:c r="B130" s="61"/>
      <x:c r="C130" s="61"/>
      <x:c r="D130" s="61"/>
      <x:c r="E130" s="61"/>
      <x:c r="F130" s="61"/>
      <x:c r="G130" s="61"/>
      <x:c r="H130" s="61"/>
      <x:c r="I130" s="61"/>
      <x:c r="J130" s="61"/>
      <x:c r="K130" s="67" t="str">
        <x:f>IF(A130="","",IF(OR(B130="",C130="",D130="",E130="",F130="",G130="",H130="",I130="",J130=""),"Incomplete",IF(E130="Evidence required","Evidence required",IF(OR(I130="Hypothesis",I130="Observed association",I130="Contradictory or unresolved"),"Review required","Ready for qualified review"))))</x:f>
      </x:c>
    </x:row>
    <x:row r="131">
      <x:c r="A131" s="61"/>
      <x:c r="B131" s="61"/>
      <x:c r="C131" s="61"/>
      <x:c r="D131" s="61"/>
      <x:c r="E131" s="61"/>
      <x:c r="F131" s="61"/>
      <x:c r="G131" s="61"/>
      <x:c r="H131" s="61"/>
      <x:c r="I131" s="61"/>
      <x:c r="J131" s="61"/>
      <x:c r="K131" s="67" t="str">
        <x:f>IF(A131="","",IF(OR(B131="",C131="",D131="",E131="",F131="",G131="",H131="",I131="",J131=""),"Incomplete",IF(E131="Evidence required","Evidence required",IF(OR(I131="Hypothesis",I131="Observed association",I131="Contradictory or unresolved"),"Review required","Ready for qualified review"))))</x:f>
      </x:c>
    </x:row>
    <x:row r="132">
      <x:c r="A132" s="61"/>
      <x:c r="B132" s="61"/>
      <x:c r="C132" s="61"/>
      <x:c r="D132" s="61"/>
      <x:c r="E132" s="61"/>
      <x:c r="F132" s="61"/>
      <x:c r="G132" s="61"/>
      <x:c r="H132" s="61"/>
      <x:c r="I132" s="61"/>
      <x:c r="J132" s="61"/>
      <x:c r="K132" s="67" t="str">
        <x:f>IF(A132="","",IF(OR(B132="",C132="",D132="",E132="",F132="",G132="",H132="",I132="",J132=""),"Incomplete",IF(E132="Evidence required","Evidence required",IF(OR(I132="Hypothesis",I132="Observed association",I132="Contradictory or unresolved"),"Review required","Ready for qualified review"))))</x:f>
      </x:c>
    </x:row>
    <x:row r="133">
      <x:c r="A133" s="61"/>
      <x:c r="B133" s="61"/>
      <x:c r="C133" s="61"/>
      <x:c r="D133" s="61"/>
      <x:c r="E133" s="61"/>
      <x:c r="F133" s="61"/>
      <x:c r="G133" s="61"/>
      <x:c r="H133" s="61"/>
      <x:c r="I133" s="61"/>
      <x:c r="J133" s="61"/>
      <x:c r="K133" s="67" t="str">
        <x:f>IF(A133="","",IF(OR(B133="",C133="",D133="",E133="",F133="",G133="",H133="",I133="",J133=""),"Incomplete",IF(E133="Evidence required","Evidence required",IF(OR(I133="Hypothesis",I133="Observed association",I133="Contradictory or unresolved"),"Review required","Ready for qualified review"))))</x:f>
      </x:c>
    </x:row>
    <x:row r="134">
      <x:c r="A134" s="61"/>
      <x:c r="B134" s="61"/>
      <x:c r="C134" s="61"/>
      <x:c r="D134" s="61"/>
      <x:c r="E134" s="61"/>
      <x:c r="F134" s="61"/>
      <x:c r="G134" s="61"/>
      <x:c r="H134" s="61"/>
      <x:c r="I134" s="61"/>
      <x:c r="J134" s="61"/>
      <x:c r="K134" s="67" t="str">
        <x:f>IF(A134="","",IF(OR(B134="",C134="",D134="",E134="",F134="",G134="",H134="",I134="",J134=""),"Incomplete",IF(E134="Evidence required","Evidence required",IF(OR(I134="Hypothesis",I134="Observed association",I134="Contradictory or unresolved"),"Review required","Ready for qualified review"))))</x:f>
      </x:c>
    </x:row>
    <x:row r="135">
      <x:c r="A135" s="61"/>
      <x:c r="B135" s="61"/>
      <x:c r="C135" s="61"/>
      <x:c r="D135" s="61"/>
      <x:c r="E135" s="61"/>
      <x:c r="F135" s="61"/>
      <x:c r="G135" s="61"/>
      <x:c r="H135" s="61"/>
      <x:c r="I135" s="61"/>
      <x:c r="J135" s="61"/>
      <x:c r="K135" s="67" t="str">
        <x:f>IF(A135="","",IF(OR(B135="",C135="",D135="",E135="",F135="",G135="",H135="",I135="",J135=""),"Incomplete",IF(E135="Evidence required","Evidence required",IF(OR(I135="Hypothesis",I135="Observed association",I135="Contradictory or unresolved"),"Review required","Ready for qualified review"))))</x:f>
      </x:c>
    </x:row>
    <x:row r="136">
      <x:c r="A136" s="61"/>
      <x:c r="B136" s="61"/>
      <x:c r="C136" s="61"/>
      <x:c r="D136" s="61"/>
      <x:c r="E136" s="61"/>
      <x:c r="F136" s="61"/>
      <x:c r="G136" s="61"/>
      <x:c r="H136" s="61"/>
      <x:c r="I136" s="61"/>
      <x:c r="J136" s="61"/>
      <x:c r="K136" s="67" t="str">
        <x:f>IF(A136="","",IF(OR(B136="",C136="",D136="",E136="",F136="",G136="",H136="",I136="",J136=""),"Incomplete",IF(E136="Evidence required","Evidence required",IF(OR(I136="Hypothesis",I136="Observed association",I136="Contradictory or unresolved"),"Review required","Ready for qualified review"))))</x:f>
      </x:c>
    </x:row>
    <x:row r="137">
      <x:c r="A137" s="61"/>
      <x:c r="B137" s="61"/>
      <x:c r="C137" s="61"/>
      <x:c r="D137" s="61"/>
      <x:c r="E137" s="61"/>
      <x:c r="F137" s="61"/>
      <x:c r="G137" s="61"/>
      <x:c r="H137" s="61"/>
      <x:c r="I137" s="61"/>
      <x:c r="J137" s="61"/>
      <x:c r="K137" s="67" t="str">
        <x:f>IF(A137="","",IF(OR(B137="",C137="",D137="",E137="",F137="",G137="",H137="",I137="",J137=""),"Incomplete",IF(E137="Evidence required","Evidence required",IF(OR(I137="Hypothesis",I137="Observed association",I137="Contradictory or unresolved"),"Review required","Ready for qualified review"))))</x:f>
      </x:c>
    </x:row>
    <x:row r="138">
      <x:c r="A138" s="61"/>
      <x:c r="B138" s="61"/>
      <x:c r="C138" s="61"/>
      <x:c r="D138" s="61"/>
      <x:c r="E138" s="61"/>
      <x:c r="F138" s="61"/>
      <x:c r="G138" s="61"/>
      <x:c r="H138" s="61"/>
      <x:c r="I138" s="61"/>
      <x:c r="J138" s="61"/>
      <x:c r="K138" s="67" t="str">
        <x:f>IF(A138="","",IF(OR(B138="",C138="",D138="",E138="",F138="",G138="",H138="",I138="",J138=""),"Incomplete",IF(E138="Evidence required","Evidence required",IF(OR(I138="Hypothesis",I138="Observed association",I138="Contradictory or unresolved"),"Review required","Ready for qualified review"))))</x:f>
      </x:c>
    </x:row>
    <x:row r="139">
      <x:c r="A139" s="61"/>
      <x:c r="B139" s="61"/>
      <x:c r="C139" s="61"/>
      <x:c r="D139" s="61"/>
      <x:c r="E139" s="61"/>
      <x:c r="F139" s="61"/>
      <x:c r="G139" s="61"/>
      <x:c r="H139" s="61"/>
      <x:c r="I139" s="61"/>
      <x:c r="J139" s="61"/>
      <x:c r="K139" s="67" t="str">
        <x:f>IF(A139="","",IF(OR(B139="",C139="",D139="",E139="",F139="",G139="",H139="",I139="",J139=""),"Incomplete",IF(E139="Evidence required","Evidence required",IF(OR(I139="Hypothesis",I139="Observed association",I139="Contradictory or unresolved"),"Review required","Ready for qualified review"))))</x:f>
      </x:c>
    </x:row>
    <x:row r="140">
      <x:c r="A140" s="61"/>
      <x:c r="B140" s="61"/>
      <x:c r="C140" s="61"/>
      <x:c r="D140" s="61"/>
      <x:c r="E140" s="61"/>
      <x:c r="F140" s="61"/>
      <x:c r="G140" s="61"/>
      <x:c r="H140" s="61"/>
      <x:c r="I140" s="61"/>
      <x:c r="J140" s="61"/>
      <x:c r="K140" s="67" t="str">
        <x:f>IF(A140="","",IF(OR(B140="",C140="",D140="",E140="",F140="",G140="",H140="",I140="",J140=""),"Incomplete",IF(E140="Evidence required","Evidence required",IF(OR(I140="Hypothesis",I140="Observed association",I140="Contradictory or unresolved"),"Review required","Ready for qualified review"))))</x:f>
      </x:c>
    </x:row>
    <x:row r="141">
      <x:c r="A141" s="61"/>
      <x:c r="B141" s="61"/>
      <x:c r="C141" s="61"/>
      <x:c r="D141" s="61"/>
      <x:c r="E141" s="61"/>
      <x:c r="F141" s="61"/>
      <x:c r="G141" s="61"/>
      <x:c r="H141" s="61"/>
      <x:c r="I141" s="61"/>
      <x:c r="J141" s="61"/>
      <x:c r="K141" s="67" t="str">
        <x:f>IF(A141="","",IF(OR(B141="",C141="",D141="",E141="",F141="",G141="",H141="",I141="",J141=""),"Incomplete",IF(E141="Evidence required","Evidence required",IF(OR(I141="Hypothesis",I141="Observed association",I141="Contradictory or unresolved"),"Review required","Ready for qualified review"))))</x:f>
      </x:c>
    </x:row>
    <x:row r="142">
      <x:c r="A142" s="61"/>
      <x:c r="B142" s="61"/>
      <x:c r="C142" s="61"/>
      <x:c r="D142" s="61"/>
      <x:c r="E142" s="61"/>
      <x:c r="F142" s="61"/>
      <x:c r="G142" s="61"/>
      <x:c r="H142" s="61"/>
      <x:c r="I142" s="61"/>
      <x:c r="J142" s="61"/>
      <x:c r="K142" s="67" t="str">
        <x:f>IF(A142="","",IF(OR(B142="",C142="",D142="",E142="",F142="",G142="",H142="",I142="",J142=""),"Incomplete",IF(E142="Evidence required","Evidence required",IF(OR(I142="Hypothesis",I142="Observed association",I142="Contradictory or unresolved"),"Review required","Ready for qualified review"))))</x:f>
      </x:c>
    </x:row>
    <x:row r="143">
      <x:c r="A143" s="61"/>
      <x:c r="B143" s="61"/>
      <x:c r="C143" s="61"/>
      <x:c r="D143" s="61"/>
      <x:c r="E143" s="61"/>
      <x:c r="F143" s="61"/>
      <x:c r="G143" s="61"/>
      <x:c r="H143" s="61"/>
      <x:c r="I143" s="61"/>
      <x:c r="J143" s="61"/>
      <x:c r="K143" s="67" t="str">
        <x:f>IF(A143="","",IF(OR(B143="",C143="",D143="",E143="",F143="",G143="",H143="",I143="",J143=""),"Incomplete",IF(E143="Evidence required","Evidence required",IF(OR(I143="Hypothesis",I143="Observed association",I143="Contradictory or unresolved"),"Review required","Ready for qualified review"))))</x:f>
      </x:c>
    </x:row>
    <x:row r="144">
      <x:c r="A144" s="61"/>
      <x:c r="B144" s="61"/>
      <x:c r="C144" s="61"/>
      <x:c r="D144" s="61"/>
      <x:c r="E144" s="61"/>
      <x:c r="F144" s="61"/>
      <x:c r="G144" s="61"/>
      <x:c r="H144" s="61"/>
      <x:c r="I144" s="61"/>
      <x:c r="J144" s="61"/>
      <x:c r="K144" s="67" t="str">
        <x:f>IF(A144="","",IF(OR(B144="",C144="",D144="",E144="",F144="",G144="",H144="",I144="",J144=""),"Incomplete",IF(E144="Evidence required","Evidence required",IF(OR(I144="Hypothesis",I144="Observed association",I144="Contradictory or unresolved"),"Review required","Ready for qualified review"))))</x:f>
      </x:c>
    </x:row>
    <x:row r="145">
      <x:c r="A145" s="61"/>
      <x:c r="B145" s="61"/>
      <x:c r="C145" s="61"/>
      <x:c r="D145" s="61"/>
      <x:c r="E145" s="61"/>
      <x:c r="F145" s="61"/>
      <x:c r="G145" s="61"/>
      <x:c r="H145" s="61"/>
      <x:c r="I145" s="61"/>
      <x:c r="J145" s="61"/>
      <x:c r="K145" s="67" t="str">
        <x:f>IF(A145="","",IF(OR(B145="",C145="",D145="",E145="",F145="",G145="",H145="",I145="",J145=""),"Incomplete",IF(E145="Evidence required","Evidence required",IF(OR(I145="Hypothesis",I145="Observed association",I145="Contradictory or unresolved"),"Review required","Ready for qualified review"))))</x:f>
      </x:c>
    </x:row>
    <x:row r="146">
      <x:c r="A146" s="61"/>
      <x:c r="B146" s="61"/>
      <x:c r="C146" s="61"/>
      <x:c r="D146" s="61"/>
      <x:c r="E146" s="61"/>
      <x:c r="F146" s="61"/>
      <x:c r="G146" s="61"/>
      <x:c r="H146" s="61"/>
      <x:c r="I146" s="61"/>
      <x:c r="J146" s="61"/>
      <x:c r="K146" s="67" t="str">
        <x:f>IF(A146="","",IF(OR(B146="",C146="",D146="",E146="",F146="",G146="",H146="",I146="",J146=""),"Incomplete",IF(E146="Evidence required","Evidence required",IF(OR(I146="Hypothesis",I146="Observed association",I146="Contradictory or unresolved"),"Review required","Ready for qualified review"))))</x:f>
      </x:c>
    </x:row>
    <x:row r="147">
      <x:c r="A147" s="61"/>
      <x:c r="B147" s="61"/>
      <x:c r="C147" s="61"/>
      <x:c r="D147" s="61"/>
      <x:c r="E147" s="61"/>
      <x:c r="F147" s="61"/>
      <x:c r="G147" s="61"/>
      <x:c r="H147" s="61"/>
      <x:c r="I147" s="61"/>
      <x:c r="J147" s="61"/>
      <x:c r="K147" s="67" t="str">
        <x:f>IF(A147="","",IF(OR(B147="",C147="",D147="",E147="",F147="",G147="",H147="",I147="",J147=""),"Incomplete",IF(E147="Evidence required","Evidence required",IF(OR(I147="Hypothesis",I147="Observed association",I147="Contradictory or unresolved"),"Review required","Ready for qualified review"))))</x:f>
      </x:c>
    </x:row>
    <x:row r="148">
      <x:c r="A148" s="61"/>
      <x:c r="B148" s="61"/>
      <x:c r="C148" s="61"/>
      <x:c r="D148" s="61"/>
      <x:c r="E148" s="61"/>
      <x:c r="F148" s="61"/>
      <x:c r="G148" s="61"/>
      <x:c r="H148" s="61"/>
      <x:c r="I148" s="61"/>
      <x:c r="J148" s="61"/>
      <x:c r="K148" s="67" t="str">
        <x:f>IF(A148="","",IF(OR(B148="",C148="",D148="",E148="",F148="",G148="",H148="",I148="",J148=""),"Incomplete",IF(E148="Evidence required","Evidence required",IF(OR(I148="Hypothesis",I148="Observed association",I148="Contradictory or unresolved"),"Review required","Ready for qualified review"))))</x:f>
      </x:c>
    </x:row>
    <x:row r="149">
      <x:c r="A149" s="61"/>
      <x:c r="B149" s="61"/>
      <x:c r="C149" s="61"/>
      <x:c r="D149" s="61"/>
      <x:c r="E149" s="61"/>
      <x:c r="F149" s="61"/>
      <x:c r="G149" s="61"/>
      <x:c r="H149" s="61"/>
      <x:c r="I149" s="61"/>
      <x:c r="J149" s="61"/>
      <x:c r="K149" s="67" t="str">
        <x:f>IF(A149="","",IF(OR(B149="",C149="",D149="",E149="",F149="",G149="",H149="",I149="",J149=""),"Incomplete",IF(E149="Evidence required","Evidence required",IF(OR(I149="Hypothesis",I149="Observed association",I149="Contradictory or unresolved"),"Review required","Ready for qualified review"))))</x:f>
      </x:c>
    </x:row>
    <x:row r="150">
      <x:c r="A150" s="61"/>
      <x:c r="B150" s="61"/>
      <x:c r="C150" s="61"/>
      <x:c r="D150" s="61"/>
      <x:c r="E150" s="61"/>
      <x:c r="F150" s="61"/>
      <x:c r="G150" s="61"/>
      <x:c r="H150" s="61"/>
      <x:c r="I150" s="61"/>
      <x:c r="J150" s="61"/>
      <x:c r="K150" s="67" t="str">
        <x:f>IF(A150="","",IF(OR(B150="",C150="",D150="",E150="",F150="",G150="",H150="",I150="",J150=""),"Incomplete",IF(E150="Evidence required","Evidence required",IF(OR(I150="Hypothesis",I150="Observed association",I150="Contradictory or unresolved"),"Review required","Ready for qualified review"))))</x:f>
      </x:c>
    </x:row>
    <x:row r="151">
      <x:c r="A151" s="61"/>
      <x:c r="B151" s="61"/>
      <x:c r="C151" s="61"/>
      <x:c r="D151" s="61"/>
      <x:c r="E151" s="61"/>
      <x:c r="F151" s="61"/>
      <x:c r="G151" s="61"/>
      <x:c r="H151" s="61"/>
      <x:c r="I151" s="61"/>
      <x:c r="J151" s="61"/>
      <x:c r="K151" s="67" t="str">
        <x:f>IF(A151="","",IF(OR(B151="",C151="",D151="",E151="",F151="",G151="",H151="",I151="",J151=""),"Incomplete",IF(E151="Evidence required","Evidence required",IF(OR(I151="Hypothesis",I151="Observed association",I151="Contradictory or unresolved"),"Review required","Ready for qualified review"))))</x:f>
      </x:c>
    </x:row>
    <x:row r="152">
      <x:c r="A152" s="61"/>
      <x:c r="B152" s="61"/>
      <x:c r="C152" s="61"/>
      <x:c r="D152" s="61"/>
      <x:c r="E152" s="61"/>
      <x:c r="F152" s="61"/>
      <x:c r="G152" s="61"/>
      <x:c r="H152" s="61"/>
      <x:c r="I152" s="61"/>
      <x:c r="J152" s="61"/>
      <x:c r="K152" s="67" t="str">
        <x:f>IF(A152="","",IF(OR(B152="",C152="",D152="",E152="",F152="",G152="",H152="",I152="",J152=""),"Incomplete",IF(E152="Evidence required","Evidence required",IF(OR(I152="Hypothesis",I152="Observed association",I152="Contradictory or unresolved"),"Review required","Ready for qualified review"))))</x:f>
      </x:c>
    </x:row>
    <x:row r="153">
      <x:c r="A153" s="61"/>
      <x:c r="B153" s="61"/>
      <x:c r="C153" s="61"/>
      <x:c r="D153" s="61"/>
      <x:c r="E153" s="61"/>
      <x:c r="F153" s="61"/>
      <x:c r="G153" s="61"/>
      <x:c r="H153" s="61"/>
      <x:c r="I153" s="61"/>
      <x:c r="J153" s="61"/>
      <x:c r="K153" s="67" t="str">
        <x:f>IF(A153="","",IF(OR(B153="",C153="",D153="",E153="",F153="",G153="",H153="",I153="",J153=""),"Incomplete",IF(E153="Evidence required","Evidence required",IF(OR(I153="Hypothesis",I153="Observed association",I153="Contradictory or unresolved"),"Review required","Ready for qualified review"))))</x:f>
      </x:c>
    </x:row>
    <x:row r="154">
      <x:c r="A154" s="61"/>
      <x:c r="B154" s="61"/>
      <x:c r="C154" s="61"/>
      <x:c r="D154" s="61"/>
      <x:c r="E154" s="61"/>
      <x:c r="F154" s="61"/>
      <x:c r="G154" s="61"/>
      <x:c r="H154" s="61"/>
      <x:c r="I154" s="61"/>
      <x:c r="J154" s="61"/>
      <x:c r="K154" s="67" t="str">
        <x:f>IF(A154="","",IF(OR(B154="",C154="",D154="",E154="",F154="",G154="",H154="",I154="",J154=""),"Incomplete",IF(E154="Evidence required","Evidence required",IF(OR(I154="Hypothesis",I154="Observed association",I154="Contradictory or unresolved"),"Review required","Ready for qualified review"))))</x:f>
      </x:c>
    </x:row>
    <x:row r="155">
      <x:c r="A155" s="61"/>
      <x:c r="B155" s="61"/>
      <x:c r="C155" s="61"/>
      <x:c r="D155" s="61"/>
      <x:c r="E155" s="61"/>
      <x:c r="F155" s="61"/>
      <x:c r="G155" s="61"/>
      <x:c r="H155" s="61"/>
      <x:c r="I155" s="61"/>
      <x:c r="J155" s="61"/>
      <x:c r="K155" s="67" t="str">
        <x:f>IF(A155="","",IF(OR(B155="",C155="",D155="",E155="",F155="",G155="",H155="",I155="",J155=""),"Incomplete",IF(E155="Evidence required","Evidence required",IF(OR(I155="Hypothesis",I155="Observed association",I155="Contradictory or unresolved"),"Review required","Ready for qualified review"))))</x:f>
      </x:c>
    </x:row>
    <x:row r="156">
      <x:c r="A156" s="61"/>
      <x:c r="B156" s="61"/>
      <x:c r="C156" s="61"/>
      <x:c r="D156" s="61"/>
      <x:c r="E156" s="61"/>
      <x:c r="F156" s="61"/>
      <x:c r="G156" s="61"/>
      <x:c r="H156" s="61"/>
      <x:c r="I156" s="61"/>
      <x:c r="J156" s="61"/>
      <x:c r="K156" s="67" t="str">
        <x:f>IF(A156="","",IF(OR(B156="",C156="",D156="",E156="",F156="",G156="",H156="",I156="",J156=""),"Incomplete",IF(E156="Evidence required","Evidence required",IF(OR(I156="Hypothesis",I156="Observed association",I156="Contradictory or unresolved"),"Review required","Ready for qualified review"))))</x:f>
      </x:c>
    </x:row>
    <x:row r="157">
      <x:c r="A157" s="61"/>
      <x:c r="B157" s="61"/>
      <x:c r="C157" s="61"/>
      <x:c r="D157" s="61"/>
      <x:c r="E157" s="61"/>
      <x:c r="F157" s="61"/>
      <x:c r="G157" s="61"/>
      <x:c r="H157" s="61"/>
      <x:c r="I157" s="61"/>
      <x:c r="J157" s="61"/>
      <x:c r="K157" s="67" t="str">
        <x:f>IF(A157="","",IF(OR(B157="",C157="",D157="",E157="",F157="",G157="",H157="",I157="",J157=""),"Incomplete",IF(E157="Evidence required","Evidence required",IF(OR(I157="Hypothesis",I157="Observed association",I157="Contradictory or unresolved"),"Review required","Ready for qualified review"))))</x:f>
      </x:c>
    </x:row>
    <x:row r="158">
      <x:c r="A158" s="61"/>
      <x:c r="B158" s="61"/>
      <x:c r="C158" s="61"/>
      <x:c r="D158" s="61"/>
      <x:c r="E158" s="61"/>
      <x:c r="F158" s="61"/>
      <x:c r="G158" s="61"/>
      <x:c r="H158" s="61"/>
      <x:c r="I158" s="61"/>
      <x:c r="J158" s="61"/>
      <x:c r="K158" s="67" t="str">
        <x:f>IF(A158="","",IF(OR(B158="",C158="",D158="",E158="",F158="",G158="",H158="",I158="",J158=""),"Incomplete",IF(E158="Evidence required","Evidence required",IF(OR(I158="Hypothesis",I158="Observed association",I158="Contradictory or unresolved"),"Review required","Ready for qualified review"))))</x:f>
      </x:c>
    </x:row>
    <x:row r="159">
      <x:c r="A159" s="61"/>
      <x:c r="B159" s="61"/>
      <x:c r="C159" s="61"/>
      <x:c r="D159" s="61"/>
      <x:c r="E159" s="61"/>
      <x:c r="F159" s="61"/>
      <x:c r="G159" s="61"/>
      <x:c r="H159" s="61"/>
      <x:c r="I159" s="61"/>
      <x:c r="J159" s="61"/>
      <x:c r="K159" s="67" t="str">
        <x:f>IF(A159="","",IF(OR(B159="",C159="",D159="",E159="",F159="",G159="",H159="",I159="",J159=""),"Incomplete",IF(E159="Evidence required","Evidence required",IF(OR(I159="Hypothesis",I159="Observed association",I159="Contradictory or unresolved"),"Review required","Ready for qualified review"))))</x:f>
      </x:c>
    </x:row>
    <x:row r="160">
      <x:c r="A160" s="61"/>
      <x:c r="B160" s="61"/>
      <x:c r="C160" s="61"/>
      <x:c r="D160" s="61"/>
      <x:c r="E160" s="61"/>
      <x:c r="F160" s="61"/>
      <x:c r="G160" s="61"/>
      <x:c r="H160" s="61"/>
      <x:c r="I160" s="61"/>
      <x:c r="J160" s="61"/>
      <x:c r="K160" s="67" t="str">
        <x:f>IF(A160="","",IF(OR(B160="",C160="",D160="",E160="",F160="",G160="",H160="",I160="",J160=""),"Incomplete",IF(E160="Evidence required","Evidence required",IF(OR(I160="Hypothesis",I160="Observed association",I160="Contradictory or unresolved"),"Review required","Ready for qualified review"))))</x:f>
      </x:c>
    </x:row>
    <x:row r="161">
      <x:c r="A161" s="61"/>
      <x:c r="B161" s="61"/>
      <x:c r="C161" s="61"/>
      <x:c r="D161" s="61"/>
      <x:c r="E161" s="61"/>
      <x:c r="F161" s="61"/>
      <x:c r="G161" s="61"/>
      <x:c r="H161" s="61"/>
      <x:c r="I161" s="61"/>
      <x:c r="J161" s="61"/>
      <x:c r="K161" s="67" t="str">
        <x:f>IF(A161="","",IF(OR(B161="",C161="",D161="",E161="",F161="",G161="",H161="",I161="",J161=""),"Incomplete",IF(E161="Evidence required","Evidence required",IF(OR(I161="Hypothesis",I161="Observed association",I161="Contradictory or unresolved"),"Review required","Ready for qualified review"))))</x:f>
      </x:c>
    </x:row>
    <x:row r="162">
      <x:c r="A162" s="61"/>
      <x:c r="B162" s="61"/>
      <x:c r="C162" s="61"/>
      <x:c r="D162" s="61"/>
      <x:c r="E162" s="61"/>
      <x:c r="F162" s="61"/>
      <x:c r="G162" s="61"/>
      <x:c r="H162" s="61"/>
      <x:c r="I162" s="61"/>
      <x:c r="J162" s="61"/>
      <x:c r="K162" s="67" t="str">
        <x:f>IF(A162="","",IF(OR(B162="",C162="",D162="",E162="",F162="",G162="",H162="",I162="",J162=""),"Incomplete",IF(E162="Evidence required","Evidence required",IF(OR(I162="Hypothesis",I162="Observed association",I162="Contradictory or unresolved"),"Review required","Ready for qualified review"))))</x:f>
      </x:c>
    </x:row>
    <x:row r="163">
      <x:c r="A163" s="61"/>
      <x:c r="B163" s="61"/>
      <x:c r="C163" s="61"/>
      <x:c r="D163" s="61"/>
      <x:c r="E163" s="61"/>
      <x:c r="F163" s="61"/>
      <x:c r="G163" s="61"/>
      <x:c r="H163" s="61"/>
      <x:c r="I163" s="61"/>
      <x:c r="J163" s="61"/>
      <x:c r="K163" s="67" t="str">
        <x:f>IF(A163="","",IF(OR(B163="",C163="",D163="",E163="",F163="",G163="",H163="",I163="",J163=""),"Incomplete",IF(E163="Evidence required","Evidence required",IF(OR(I163="Hypothesis",I163="Observed association",I163="Contradictory or unresolved"),"Review required","Ready for qualified review"))))</x:f>
      </x:c>
    </x:row>
    <x:row r="164">
      <x:c r="A164" s="61"/>
      <x:c r="B164" s="61"/>
      <x:c r="C164" s="61"/>
      <x:c r="D164" s="61"/>
      <x:c r="E164" s="61"/>
      <x:c r="F164" s="61"/>
      <x:c r="G164" s="61"/>
      <x:c r="H164" s="61"/>
      <x:c r="I164" s="61"/>
      <x:c r="J164" s="61"/>
      <x:c r="K164" s="67" t="str">
        <x:f>IF(A164="","",IF(OR(B164="",C164="",D164="",E164="",F164="",G164="",H164="",I164="",J164=""),"Incomplete",IF(E164="Evidence required","Evidence required",IF(OR(I164="Hypothesis",I164="Observed association",I164="Contradictory or unresolved"),"Review required","Ready for qualified review"))))</x:f>
      </x:c>
    </x:row>
    <x:row r="165">
      <x:c r="A165" s="61"/>
      <x:c r="B165" s="61"/>
      <x:c r="C165" s="61"/>
      <x:c r="D165" s="61"/>
      <x:c r="E165" s="61"/>
      <x:c r="F165" s="61"/>
      <x:c r="G165" s="61"/>
      <x:c r="H165" s="61"/>
      <x:c r="I165" s="61"/>
      <x:c r="J165" s="61"/>
      <x:c r="K165" s="67" t="str">
        <x:f>IF(A165="","",IF(OR(B165="",C165="",D165="",E165="",F165="",G165="",H165="",I165="",J165=""),"Incomplete",IF(E165="Evidence required","Evidence required",IF(OR(I165="Hypothesis",I165="Observed association",I165="Contradictory or unresolved"),"Review required","Ready for qualified review"))))</x:f>
      </x:c>
    </x:row>
    <x:row r="166">
      <x:c r="A166" s="61"/>
      <x:c r="B166" s="61"/>
      <x:c r="C166" s="61"/>
      <x:c r="D166" s="61"/>
      <x:c r="E166" s="61"/>
      <x:c r="F166" s="61"/>
      <x:c r="G166" s="61"/>
      <x:c r="H166" s="61"/>
      <x:c r="I166" s="61"/>
      <x:c r="J166" s="61"/>
      <x:c r="K166" s="67" t="str">
        <x:f>IF(A166="","",IF(OR(B166="",C166="",D166="",E166="",F166="",G166="",H166="",I166="",J166=""),"Incomplete",IF(E166="Evidence required","Evidence required",IF(OR(I166="Hypothesis",I166="Observed association",I166="Contradictory or unresolved"),"Review required","Ready for qualified review"))))</x:f>
      </x:c>
    </x:row>
    <x:row r="167">
      <x:c r="A167" s="61"/>
      <x:c r="B167" s="61"/>
      <x:c r="C167" s="61"/>
      <x:c r="D167" s="61"/>
      <x:c r="E167" s="61"/>
      <x:c r="F167" s="61"/>
      <x:c r="G167" s="61"/>
      <x:c r="H167" s="61"/>
      <x:c r="I167" s="61"/>
      <x:c r="J167" s="61"/>
      <x:c r="K167" s="67" t="str">
        <x:f>IF(A167="","",IF(OR(B167="",C167="",D167="",E167="",F167="",G167="",H167="",I167="",J167=""),"Incomplete",IF(E167="Evidence required","Evidence required",IF(OR(I167="Hypothesis",I167="Observed association",I167="Contradictory or unresolved"),"Review required","Ready for qualified review"))))</x:f>
      </x:c>
    </x:row>
    <x:row r="168">
      <x:c r="A168" s="61"/>
      <x:c r="B168" s="61"/>
      <x:c r="C168" s="61"/>
      <x:c r="D168" s="61"/>
      <x:c r="E168" s="61"/>
      <x:c r="F168" s="61"/>
      <x:c r="G168" s="61"/>
      <x:c r="H168" s="61"/>
      <x:c r="I168" s="61"/>
      <x:c r="J168" s="61"/>
      <x:c r="K168" s="67" t="str">
        <x:f>IF(A168="","",IF(OR(B168="",C168="",D168="",E168="",F168="",G168="",H168="",I168="",J168=""),"Incomplete",IF(E168="Evidence required","Evidence required",IF(OR(I168="Hypothesis",I168="Observed association",I168="Contradictory or unresolved"),"Review required","Ready for qualified review"))))</x:f>
      </x:c>
    </x:row>
    <x:row r="169">
      <x:c r="A169" s="61"/>
      <x:c r="B169" s="61"/>
      <x:c r="C169" s="61"/>
      <x:c r="D169" s="61"/>
      <x:c r="E169" s="61"/>
      <x:c r="F169" s="61"/>
      <x:c r="G169" s="61"/>
      <x:c r="H169" s="61"/>
      <x:c r="I169" s="61"/>
      <x:c r="J169" s="61"/>
      <x:c r="K169" s="67" t="str">
        <x:f>IF(A169="","",IF(OR(B169="",C169="",D169="",E169="",F169="",G169="",H169="",I169="",J169=""),"Incomplete",IF(E169="Evidence required","Evidence required",IF(OR(I169="Hypothesis",I169="Observed association",I169="Contradictory or unresolved"),"Review required","Ready for qualified review"))))</x:f>
      </x:c>
    </x:row>
    <x:row r="170">
      <x:c r="A170" s="61"/>
      <x:c r="B170" s="61"/>
      <x:c r="C170" s="61"/>
      <x:c r="D170" s="61"/>
      <x:c r="E170" s="61"/>
      <x:c r="F170" s="61"/>
      <x:c r="G170" s="61"/>
      <x:c r="H170" s="61"/>
      <x:c r="I170" s="61"/>
      <x:c r="J170" s="61"/>
      <x:c r="K170" s="67" t="str">
        <x:f>IF(A170="","",IF(OR(B170="",C170="",D170="",E170="",F170="",G170="",H170="",I170="",J170=""),"Incomplete",IF(E170="Evidence required","Evidence required",IF(OR(I170="Hypothesis",I170="Observed association",I170="Contradictory or unresolved"),"Review required","Ready for qualified review"))))</x:f>
      </x:c>
    </x:row>
    <x:row r="171">
      <x:c r="A171" s="61"/>
      <x:c r="B171" s="61"/>
      <x:c r="C171" s="61"/>
      <x:c r="D171" s="61"/>
      <x:c r="E171" s="61"/>
      <x:c r="F171" s="61"/>
      <x:c r="G171" s="61"/>
      <x:c r="H171" s="61"/>
      <x:c r="I171" s="61"/>
      <x:c r="J171" s="61"/>
      <x:c r="K171" s="67" t="str">
        <x:f>IF(A171="","",IF(OR(B171="",C171="",D171="",E171="",F171="",G171="",H171="",I171="",J171=""),"Incomplete",IF(E171="Evidence required","Evidence required",IF(OR(I171="Hypothesis",I171="Observed association",I171="Contradictory or unresolved"),"Review required","Ready for qualified review"))))</x:f>
      </x:c>
    </x:row>
    <x:row r="172">
      <x:c r="A172" s="61"/>
      <x:c r="B172" s="61"/>
      <x:c r="C172" s="61"/>
      <x:c r="D172" s="61"/>
      <x:c r="E172" s="61"/>
      <x:c r="F172" s="61"/>
      <x:c r="G172" s="61"/>
      <x:c r="H172" s="61"/>
      <x:c r="I172" s="61"/>
      <x:c r="J172" s="61"/>
      <x:c r="K172" s="67" t="str">
        <x:f>IF(A172="","",IF(OR(B172="",C172="",D172="",E172="",F172="",G172="",H172="",I172="",J172=""),"Incomplete",IF(E172="Evidence required","Evidence required",IF(OR(I172="Hypothesis",I172="Observed association",I172="Contradictory or unresolved"),"Review required","Ready for qualified review"))))</x:f>
      </x:c>
    </x:row>
    <x:row r="173">
      <x:c r="A173" s="61"/>
      <x:c r="B173" s="61"/>
      <x:c r="C173" s="61"/>
      <x:c r="D173" s="61"/>
      <x:c r="E173" s="61"/>
      <x:c r="F173" s="61"/>
      <x:c r="G173" s="61"/>
      <x:c r="H173" s="61"/>
      <x:c r="I173" s="61"/>
      <x:c r="J173" s="61"/>
      <x:c r="K173" s="67" t="str">
        <x:f>IF(A173="","",IF(OR(B173="",C173="",D173="",E173="",F173="",G173="",H173="",I173="",J173=""),"Incomplete",IF(E173="Evidence required","Evidence required",IF(OR(I173="Hypothesis",I173="Observed association",I173="Contradictory or unresolved"),"Review required","Ready for qualified review"))))</x:f>
      </x:c>
    </x:row>
    <x:row r="174">
      <x:c r="A174" s="61"/>
      <x:c r="B174" s="61"/>
      <x:c r="C174" s="61"/>
      <x:c r="D174" s="61"/>
      <x:c r="E174" s="61"/>
      <x:c r="F174" s="61"/>
      <x:c r="G174" s="61"/>
      <x:c r="H174" s="61"/>
      <x:c r="I174" s="61"/>
      <x:c r="J174" s="61"/>
      <x:c r="K174" s="67" t="str">
        <x:f>IF(A174="","",IF(OR(B174="",C174="",D174="",E174="",F174="",G174="",H174="",I174="",J174=""),"Incomplete",IF(E174="Evidence required","Evidence required",IF(OR(I174="Hypothesis",I174="Observed association",I174="Contradictory or unresolved"),"Review required","Ready for qualified review"))))</x:f>
      </x:c>
    </x:row>
    <x:row r="175">
      <x:c r="A175" s="61"/>
      <x:c r="B175" s="61"/>
      <x:c r="C175" s="61"/>
      <x:c r="D175" s="61"/>
      <x:c r="E175" s="61"/>
      <x:c r="F175" s="61"/>
      <x:c r="G175" s="61"/>
      <x:c r="H175" s="61"/>
      <x:c r="I175" s="61"/>
      <x:c r="J175" s="61"/>
      <x:c r="K175" s="67" t="str">
        <x:f>IF(A175="","",IF(OR(B175="",C175="",D175="",E175="",F175="",G175="",H175="",I175="",J175=""),"Incomplete",IF(E175="Evidence required","Evidence required",IF(OR(I175="Hypothesis",I175="Observed association",I175="Contradictory or unresolved"),"Review required","Ready for qualified review"))))</x:f>
      </x:c>
    </x:row>
    <x:row r="176">
      <x:c r="A176" s="61"/>
      <x:c r="B176" s="61"/>
      <x:c r="C176" s="61"/>
      <x:c r="D176" s="61"/>
      <x:c r="E176" s="61"/>
      <x:c r="F176" s="61"/>
      <x:c r="G176" s="61"/>
      <x:c r="H176" s="61"/>
      <x:c r="I176" s="61"/>
      <x:c r="J176" s="61"/>
      <x:c r="K176" s="67" t="str">
        <x:f>IF(A176="","",IF(OR(B176="",C176="",D176="",E176="",F176="",G176="",H176="",I176="",J176=""),"Incomplete",IF(E176="Evidence required","Evidence required",IF(OR(I176="Hypothesis",I176="Observed association",I176="Contradictory or unresolved"),"Review required","Ready for qualified review"))))</x:f>
      </x:c>
    </x:row>
    <x:row r="177">
      <x:c r="A177" s="61"/>
      <x:c r="B177" s="61"/>
      <x:c r="C177" s="61"/>
      <x:c r="D177" s="61"/>
      <x:c r="E177" s="61"/>
      <x:c r="F177" s="61"/>
      <x:c r="G177" s="61"/>
      <x:c r="H177" s="61"/>
      <x:c r="I177" s="61"/>
      <x:c r="J177" s="61"/>
      <x:c r="K177" s="67" t="str">
        <x:f>IF(A177="","",IF(OR(B177="",C177="",D177="",E177="",F177="",G177="",H177="",I177="",J177=""),"Incomplete",IF(E177="Evidence required","Evidence required",IF(OR(I177="Hypothesis",I177="Observed association",I177="Contradictory or unresolved"),"Review required","Ready for qualified review"))))</x:f>
      </x:c>
    </x:row>
    <x:row r="178">
      <x:c r="A178" s="61"/>
      <x:c r="B178" s="61"/>
      <x:c r="C178" s="61"/>
      <x:c r="D178" s="61"/>
      <x:c r="E178" s="61"/>
      <x:c r="F178" s="61"/>
      <x:c r="G178" s="61"/>
      <x:c r="H178" s="61"/>
      <x:c r="I178" s="61"/>
      <x:c r="J178" s="61"/>
      <x:c r="K178" s="67" t="str">
        <x:f>IF(A178="","",IF(OR(B178="",C178="",D178="",E178="",F178="",G178="",H178="",I178="",J178=""),"Incomplete",IF(E178="Evidence required","Evidence required",IF(OR(I178="Hypothesis",I178="Observed association",I178="Contradictory or unresolved"),"Review required","Ready for qualified review"))))</x:f>
      </x:c>
    </x:row>
    <x:row r="179">
      <x:c r="A179" s="61"/>
      <x:c r="B179" s="61"/>
      <x:c r="C179" s="61"/>
      <x:c r="D179" s="61"/>
      <x:c r="E179" s="61"/>
      <x:c r="F179" s="61"/>
      <x:c r="G179" s="61"/>
      <x:c r="H179" s="61"/>
      <x:c r="I179" s="61"/>
      <x:c r="J179" s="61"/>
      <x:c r="K179" s="67" t="str">
        <x:f>IF(A179="","",IF(OR(B179="",C179="",D179="",E179="",F179="",G179="",H179="",I179="",J179=""),"Incomplete",IF(E179="Evidence required","Evidence required",IF(OR(I179="Hypothesis",I179="Observed association",I179="Contradictory or unresolved"),"Review required","Ready for qualified review"))))</x:f>
      </x:c>
    </x:row>
    <x:row r="180">
      <x:c r="A180" s="61"/>
      <x:c r="B180" s="61"/>
      <x:c r="C180" s="61"/>
      <x:c r="D180" s="61"/>
      <x:c r="E180" s="61"/>
      <x:c r="F180" s="61"/>
      <x:c r="G180" s="61"/>
      <x:c r="H180" s="61"/>
      <x:c r="I180" s="61"/>
      <x:c r="J180" s="61"/>
      <x:c r="K180" s="67" t="str">
        <x:f>IF(A180="","",IF(OR(B180="",C180="",D180="",E180="",F180="",G180="",H180="",I180="",J180=""),"Incomplete",IF(E180="Evidence required","Evidence required",IF(OR(I180="Hypothesis",I180="Observed association",I180="Contradictory or unresolved"),"Review required","Ready for qualified review"))))</x:f>
      </x:c>
    </x:row>
    <x:row r="181">
      <x:c r="A181" s="61"/>
      <x:c r="B181" s="61"/>
      <x:c r="C181" s="61"/>
      <x:c r="D181" s="61"/>
      <x:c r="E181" s="61"/>
      <x:c r="F181" s="61"/>
      <x:c r="G181" s="61"/>
      <x:c r="H181" s="61"/>
      <x:c r="I181" s="61"/>
      <x:c r="J181" s="61"/>
      <x:c r="K181" s="67" t="str">
        <x:f>IF(A181="","",IF(OR(B181="",C181="",D181="",E181="",F181="",G181="",H181="",I181="",J181=""),"Incomplete",IF(E181="Evidence required","Evidence required",IF(OR(I181="Hypothesis",I181="Observed association",I181="Contradictory or unresolved"),"Review required","Ready for qualified review"))))</x:f>
      </x:c>
    </x:row>
    <x:row r="182">
      <x:c r="A182" s="61"/>
      <x:c r="B182" s="61"/>
      <x:c r="C182" s="61"/>
      <x:c r="D182" s="61"/>
      <x:c r="E182" s="61"/>
      <x:c r="F182" s="61"/>
      <x:c r="G182" s="61"/>
      <x:c r="H182" s="61"/>
      <x:c r="I182" s="61"/>
      <x:c r="J182" s="61"/>
      <x:c r="K182" s="67" t="str">
        <x:f>IF(A182="","",IF(OR(B182="",C182="",D182="",E182="",F182="",G182="",H182="",I182="",J182=""),"Incomplete",IF(E182="Evidence required","Evidence required",IF(OR(I182="Hypothesis",I182="Observed association",I182="Contradictory or unresolved"),"Review required","Ready for qualified review"))))</x:f>
      </x:c>
    </x:row>
    <x:row r="183">
      <x:c r="A183" s="61"/>
      <x:c r="B183" s="61"/>
      <x:c r="C183" s="61"/>
      <x:c r="D183" s="61"/>
      <x:c r="E183" s="61"/>
      <x:c r="F183" s="61"/>
      <x:c r="G183" s="61"/>
      <x:c r="H183" s="61"/>
      <x:c r="I183" s="61"/>
      <x:c r="J183" s="61"/>
      <x:c r="K183" s="67" t="str">
        <x:f>IF(A183="","",IF(OR(B183="",C183="",D183="",E183="",F183="",G183="",H183="",I183="",J183=""),"Incomplete",IF(E183="Evidence required","Evidence required",IF(OR(I183="Hypothesis",I183="Observed association",I183="Contradictory or unresolved"),"Review required","Ready for qualified review"))))</x:f>
      </x:c>
    </x:row>
    <x:row r="184">
      <x:c r="A184" s="61"/>
      <x:c r="B184" s="61"/>
      <x:c r="C184" s="61"/>
      <x:c r="D184" s="61"/>
      <x:c r="E184" s="61"/>
      <x:c r="F184" s="61"/>
      <x:c r="G184" s="61"/>
      <x:c r="H184" s="61"/>
      <x:c r="I184" s="61"/>
      <x:c r="J184" s="61"/>
      <x:c r="K184" s="67" t="str">
        <x:f>IF(A184="","",IF(OR(B184="",C184="",D184="",E184="",F184="",G184="",H184="",I184="",J184=""),"Incomplete",IF(E184="Evidence required","Evidence required",IF(OR(I184="Hypothesis",I184="Observed association",I184="Contradictory or unresolved"),"Review required","Ready for qualified review"))))</x:f>
      </x:c>
    </x:row>
    <x:row r="185">
      <x:c r="A185" s="61"/>
      <x:c r="B185" s="61"/>
      <x:c r="C185" s="61"/>
      <x:c r="D185" s="61"/>
      <x:c r="E185" s="61"/>
      <x:c r="F185" s="61"/>
      <x:c r="G185" s="61"/>
      <x:c r="H185" s="61"/>
      <x:c r="I185" s="61"/>
      <x:c r="J185" s="61"/>
      <x:c r="K185" s="67" t="str">
        <x:f>IF(A185="","",IF(OR(B185="",C185="",D185="",E185="",F185="",G185="",H185="",I185="",J185=""),"Incomplete",IF(E185="Evidence required","Evidence required",IF(OR(I185="Hypothesis",I185="Observed association",I185="Contradictory or unresolved"),"Review required","Ready for qualified review"))))</x:f>
      </x:c>
    </x:row>
    <x:row r="186">
      <x:c r="A186" s="61"/>
      <x:c r="B186" s="61"/>
      <x:c r="C186" s="61"/>
      <x:c r="D186" s="61"/>
      <x:c r="E186" s="61"/>
      <x:c r="F186" s="61"/>
      <x:c r="G186" s="61"/>
      <x:c r="H186" s="61"/>
      <x:c r="I186" s="61"/>
      <x:c r="J186" s="61"/>
      <x:c r="K186" s="67" t="str">
        <x:f>IF(A186="","",IF(OR(B186="",C186="",D186="",E186="",F186="",G186="",H186="",I186="",J186=""),"Incomplete",IF(E186="Evidence required","Evidence required",IF(OR(I186="Hypothesis",I186="Observed association",I186="Contradictory or unresolved"),"Review required","Ready for qualified review"))))</x:f>
      </x:c>
    </x:row>
    <x:row r="187">
      <x:c r="A187" s="61"/>
      <x:c r="B187" s="61"/>
      <x:c r="C187" s="61"/>
      <x:c r="D187" s="61"/>
      <x:c r="E187" s="61"/>
      <x:c r="F187" s="61"/>
      <x:c r="G187" s="61"/>
      <x:c r="H187" s="61"/>
      <x:c r="I187" s="61"/>
      <x:c r="J187" s="61"/>
      <x:c r="K187" s="67" t="str">
        <x:f>IF(A187="","",IF(OR(B187="",C187="",D187="",E187="",F187="",G187="",H187="",I187="",J187=""),"Incomplete",IF(E187="Evidence required","Evidence required",IF(OR(I187="Hypothesis",I187="Observed association",I187="Contradictory or unresolved"),"Review required","Ready for qualified review"))))</x:f>
      </x:c>
    </x:row>
    <x:row r="188">
      <x:c r="A188" s="61"/>
      <x:c r="B188" s="61"/>
      <x:c r="C188" s="61"/>
      <x:c r="D188" s="61"/>
      <x:c r="E188" s="61"/>
      <x:c r="F188" s="61"/>
      <x:c r="G188" s="61"/>
      <x:c r="H188" s="61"/>
      <x:c r="I188" s="61"/>
      <x:c r="J188" s="61"/>
      <x:c r="K188" s="67" t="str">
        <x:f>IF(A188="","",IF(OR(B188="",C188="",D188="",E188="",F188="",G188="",H188="",I188="",J188=""),"Incomplete",IF(E188="Evidence required","Evidence required",IF(OR(I188="Hypothesis",I188="Observed association",I188="Contradictory or unresolved"),"Review required","Ready for qualified review"))))</x:f>
      </x:c>
    </x:row>
    <x:row r="189">
      <x:c r="A189" s="61"/>
      <x:c r="B189" s="61"/>
      <x:c r="C189" s="61"/>
      <x:c r="D189" s="61"/>
      <x:c r="E189" s="61"/>
      <x:c r="F189" s="61"/>
      <x:c r="G189" s="61"/>
      <x:c r="H189" s="61"/>
      <x:c r="I189" s="61"/>
      <x:c r="J189" s="61"/>
      <x:c r="K189" s="67" t="str">
        <x:f>IF(A189="","",IF(OR(B189="",C189="",D189="",E189="",F189="",G189="",H189="",I189="",J189=""),"Incomplete",IF(E189="Evidence required","Evidence required",IF(OR(I189="Hypothesis",I189="Observed association",I189="Contradictory or unresolved"),"Review required","Ready for qualified review"))))</x:f>
      </x:c>
    </x:row>
    <x:row r="190">
      <x:c r="A190" s="61"/>
      <x:c r="B190" s="61"/>
      <x:c r="C190" s="61"/>
      <x:c r="D190" s="61"/>
      <x:c r="E190" s="61"/>
      <x:c r="F190" s="61"/>
      <x:c r="G190" s="61"/>
      <x:c r="H190" s="61"/>
      <x:c r="I190" s="61"/>
      <x:c r="J190" s="61"/>
      <x:c r="K190" s="67" t="str">
        <x:f>IF(A190="","",IF(OR(B190="",C190="",D190="",E190="",F190="",G190="",H190="",I190="",J190=""),"Incomplete",IF(E190="Evidence required","Evidence required",IF(OR(I190="Hypothesis",I190="Observed association",I190="Contradictory or unresolved"),"Review required","Ready for qualified review"))))</x:f>
      </x:c>
    </x:row>
    <x:row r="191">
      <x:c r="A191" s="61"/>
      <x:c r="B191" s="61"/>
      <x:c r="C191" s="61"/>
      <x:c r="D191" s="61"/>
      <x:c r="E191" s="61"/>
      <x:c r="F191" s="61"/>
      <x:c r="G191" s="61"/>
      <x:c r="H191" s="61"/>
      <x:c r="I191" s="61"/>
      <x:c r="J191" s="61"/>
      <x:c r="K191" s="67" t="str">
        <x:f>IF(A191="","",IF(OR(B191="",C191="",D191="",E191="",F191="",G191="",H191="",I191="",J191=""),"Incomplete",IF(E191="Evidence required","Evidence required",IF(OR(I191="Hypothesis",I191="Observed association",I191="Contradictory or unresolved"),"Review required","Ready for qualified review"))))</x:f>
      </x:c>
    </x:row>
    <x:row r="192">
      <x:c r="A192" s="61"/>
      <x:c r="B192" s="61"/>
      <x:c r="C192" s="61"/>
      <x:c r="D192" s="61"/>
      <x:c r="E192" s="61"/>
      <x:c r="F192" s="61"/>
      <x:c r="G192" s="61"/>
      <x:c r="H192" s="61"/>
      <x:c r="I192" s="61"/>
      <x:c r="J192" s="61"/>
      <x:c r="K192" s="67" t="str">
        <x:f>IF(A192="","",IF(OR(B192="",C192="",D192="",E192="",F192="",G192="",H192="",I192="",J192=""),"Incomplete",IF(E192="Evidence required","Evidence required",IF(OR(I192="Hypothesis",I192="Observed association",I192="Contradictory or unresolved"),"Review required","Ready for qualified review"))))</x:f>
      </x:c>
    </x:row>
    <x:row r="193">
      <x:c r="A193" s="61"/>
      <x:c r="B193" s="61"/>
      <x:c r="C193" s="61"/>
      <x:c r="D193" s="61"/>
      <x:c r="E193" s="61"/>
      <x:c r="F193" s="61"/>
      <x:c r="G193" s="61"/>
      <x:c r="H193" s="61"/>
      <x:c r="I193" s="61"/>
      <x:c r="J193" s="61"/>
      <x:c r="K193" s="67" t="str">
        <x:f>IF(A193="","",IF(OR(B193="",C193="",D193="",E193="",F193="",G193="",H193="",I193="",J193=""),"Incomplete",IF(E193="Evidence required","Evidence required",IF(OR(I193="Hypothesis",I193="Observed association",I193="Contradictory or unresolved"),"Review required","Ready for qualified review"))))</x:f>
      </x:c>
    </x:row>
    <x:row r="194">
      <x:c r="A194" s="61"/>
      <x:c r="B194" s="61"/>
      <x:c r="C194" s="61"/>
      <x:c r="D194" s="61"/>
      <x:c r="E194" s="61"/>
      <x:c r="F194" s="61"/>
      <x:c r="G194" s="61"/>
      <x:c r="H194" s="61"/>
      <x:c r="I194" s="61"/>
      <x:c r="J194" s="61"/>
      <x:c r="K194" s="67" t="str">
        <x:f>IF(A194="","",IF(OR(B194="",C194="",D194="",E194="",F194="",G194="",H194="",I194="",J194=""),"Incomplete",IF(E194="Evidence required","Evidence required",IF(OR(I194="Hypothesis",I194="Observed association",I194="Contradictory or unresolved"),"Review required","Ready for qualified review"))))</x:f>
      </x:c>
    </x:row>
    <x:row r="195">
      <x:c r="A195" s="61"/>
      <x:c r="B195" s="61"/>
      <x:c r="C195" s="61"/>
      <x:c r="D195" s="61"/>
      <x:c r="E195" s="61"/>
      <x:c r="F195" s="61"/>
      <x:c r="G195" s="61"/>
      <x:c r="H195" s="61"/>
      <x:c r="I195" s="61"/>
      <x:c r="J195" s="61"/>
      <x:c r="K195" s="67" t="str">
        <x:f>IF(A195="","",IF(OR(B195="",C195="",D195="",E195="",F195="",G195="",H195="",I195="",J195=""),"Incomplete",IF(E195="Evidence required","Evidence required",IF(OR(I195="Hypothesis",I195="Observed association",I195="Contradictory or unresolved"),"Review required","Ready for qualified review"))))</x:f>
      </x:c>
    </x:row>
    <x:row r="196">
      <x:c r="A196" s="61"/>
      <x:c r="B196" s="61"/>
      <x:c r="C196" s="61"/>
      <x:c r="D196" s="61"/>
      <x:c r="E196" s="61"/>
      <x:c r="F196" s="61"/>
      <x:c r="G196" s="61"/>
      <x:c r="H196" s="61"/>
      <x:c r="I196" s="61"/>
      <x:c r="J196" s="61"/>
      <x:c r="K196" s="67" t="str">
        <x:f>IF(A196="","",IF(OR(B196="",C196="",D196="",E196="",F196="",G196="",H196="",I196="",J196=""),"Incomplete",IF(E196="Evidence required","Evidence required",IF(OR(I196="Hypothesis",I196="Observed association",I196="Contradictory or unresolved"),"Review required","Ready for qualified review"))))</x:f>
      </x:c>
    </x:row>
    <x:row r="197">
      <x:c r="A197" s="61"/>
      <x:c r="B197" s="61"/>
      <x:c r="C197" s="61"/>
      <x:c r="D197" s="61"/>
      <x:c r="E197" s="61"/>
      <x:c r="F197" s="61"/>
      <x:c r="G197" s="61"/>
      <x:c r="H197" s="61"/>
      <x:c r="I197" s="61"/>
      <x:c r="J197" s="61"/>
      <x:c r="K197" s="67" t="str">
        <x:f>IF(A197="","",IF(OR(B197="",C197="",D197="",E197="",F197="",G197="",H197="",I197="",J197=""),"Incomplete",IF(E197="Evidence required","Evidence required",IF(OR(I197="Hypothesis",I197="Observed association",I197="Contradictory or unresolved"),"Review required","Ready for qualified review"))))</x:f>
      </x:c>
    </x:row>
    <x:row r="198">
      <x:c r="A198" s="61"/>
      <x:c r="B198" s="61"/>
      <x:c r="C198" s="61"/>
      <x:c r="D198" s="61"/>
      <x:c r="E198" s="61"/>
      <x:c r="F198" s="61"/>
      <x:c r="G198" s="61"/>
      <x:c r="H198" s="61"/>
      <x:c r="I198" s="61"/>
      <x:c r="J198" s="61"/>
      <x:c r="K198" s="67" t="str">
        <x:f>IF(A198="","",IF(OR(B198="",C198="",D198="",E198="",F198="",G198="",H198="",I198="",J198=""),"Incomplete",IF(E198="Evidence required","Evidence required",IF(OR(I198="Hypothesis",I198="Observed association",I198="Contradictory or unresolved"),"Review required","Ready for qualified review"))))</x:f>
      </x:c>
    </x:row>
    <x:row r="199">
      <x:c r="A199" s="61"/>
      <x:c r="B199" s="61"/>
      <x:c r="C199" s="61"/>
      <x:c r="D199" s="61"/>
      <x:c r="E199" s="61"/>
      <x:c r="F199" s="61"/>
      <x:c r="G199" s="61"/>
      <x:c r="H199" s="61"/>
      <x:c r="I199" s="61"/>
      <x:c r="J199" s="61"/>
      <x:c r="K199" s="67" t="str">
        <x:f>IF(A199="","",IF(OR(B199="",C199="",D199="",E199="",F199="",G199="",H199="",I199="",J199=""),"Incomplete",IF(E199="Evidence required","Evidence required",IF(OR(I199="Hypothesis",I199="Observed association",I199="Contradictory or unresolved"),"Review required","Ready for qualified review"))))</x:f>
      </x:c>
    </x:row>
    <x:row r="200">
      <x:c r="A200" s="61"/>
      <x:c r="B200" s="61"/>
      <x:c r="C200" s="61"/>
      <x:c r="D200" s="61"/>
      <x:c r="E200" s="61"/>
      <x:c r="F200" s="61"/>
      <x:c r="G200" s="61"/>
      <x:c r="H200" s="61"/>
      <x:c r="I200" s="61"/>
      <x:c r="J200" s="61"/>
      <x:c r="K200" s="67" t="str">
        <x:f>IF(A200="","",IF(OR(B200="",C200="",D200="",E200="",F200="",G200="",H200="",I200="",J200=""),"Incomplete",IF(E200="Evidence required","Evidence required",IF(OR(I200="Hypothesis",I200="Observed association",I200="Contradictory or unresolved"),"Review required","Ready for qualified review"))))</x:f>
      </x:c>
    </x:row>
    <x:row r="201">
      <x:c r="A201" s="61"/>
      <x:c r="B201" s="61"/>
      <x:c r="C201" s="61"/>
      <x:c r="D201" s="61"/>
      <x:c r="E201" s="61"/>
      <x:c r="F201" s="61"/>
      <x:c r="G201" s="61"/>
      <x:c r="H201" s="61"/>
      <x:c r="I201" s="61"/>
      <x:c r="J201" s="61"/>
      <x:c r="K201" s="67" t="str">
        <x:f>IF(A201="","",IF(OR(B201="",C201="",D201="",E201="",F201="",G201="",H201="",I201="",J201=""),"Incomplete",IF(E201="Evidence required","Evidence required",IF(OR(I201="Hypothesis",I201="Observed association",I201="Contradictory or unresolved"),"Review required","Ready for qualified review"))))</x:f>
      </x:c>
    </x:row>
    <x:row r="202">
      <x:c r="A202" s="61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7" t="str">
        <x:f>IF(A202="","",IF(OR(B202="",C202="",D202="",E202="",F202="",G202="",H202="",I202="",J202=""),"Incomplete",IF(E202="Evidence required","Evidence required",IF(OR(I202="Hypothesis",I202="Observed association",I202="Contradictory or unresolved"),"Review required","Ready for qualified review"))))</x:f>
      </x:c>
    </x:row>
    <x:row r="203">
      <x:c r="A203" s="61"/>
      <x:c r="B203" s="61"/>
      <x:c r="C203" s="61"/>
      <x:c r="D203" s="61"/>
      <x:c r="E203" s="61"/>
      <x:c r="F203" s="61"/>
      <x:c r="G203" s="61"/>
      <x:c r="H203" s="61"/>
      <x:c r="I203" s="61"/>
      <x:c r="J203" s="61"/>
      <x:c r="K203" s="67" t="str">
        <x:f>IF(A203="","",IF(OR(B203="",C203="",D203="",E203="",F203="",G203="",H203="",I203="",J203=""),"Incomplete",IF(E203="Evidence required","Evidence required",IF(OR(I203="Hypothesis",I203="Observed association",I203="Contradictory or unresolved"),"Review required","Ready for qualified review"))))</x:f>
      </x:c>
    </x:row>
    <x:row r="204">
      <x:c r="A204" s="61"/>
      <x:c r="B204" s="61"/>
      <x:c r="C204" s="61"/>
      <x:c r="D204" s="61"/>
      <x:c r="E204" s="61"/>
      <x:c r="F204" s="61"/>
      <x:c r="G204" s="61"/>
      <x:c r="H204" s="61"/>
      <x:c r="I204" s="61"/>
      <x:c r="J204" s="61"/>
      <x:c r="K204" s="67" t="str">
        <x:f>IF(A204="","",IF(OR(B204="",C204="",D204="",E204="",F204="",G204="",H204="",I204="",J204=""),"Incomplete",IF(E204="Evidence required","Evidence required",IF(OR(I204="Hypothesis",I204="Observed association",I204="Contradictory or unresolved"),"Review required","Ready for qualified review"))))</x:f>
      </x:c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8" t="str">
        <x:f>IF(A205="","",IF(OR(B205="",C205="",D205="",E205="",F205="",G205="",H205="",I205="",J205=""),"Incomplete",IF(E205="Evidence required","Evidence required",IF(OR(I205="Hypothesis",I205="Observed association",I205="Contradictory or unresolved"),"Review required","Ready for qualified review"))))</x:f>
      </x:c>
    </x:row>
  </x:sheetData>
  <x:mergeCells>
    <x:mergeCell ref="A1:K1"/>
    <x:mergeCell ref="A2:K2"/>
  </x:mergeCells>
  <x:conditionalFormatting sqref="K6:K205">
    <x:cfRule type="containsText" dxfId="49" priority="1" operator="containsText" text="Incomplete"/>
    <x:cfRule type="containsText" dxfId="50" priority="2" operator="containsText" text="Evidence required"/>
    <x:cfRule type="containsText" dxfId="51" priority="3" operator="containsText" text="Review required"/>
    <x:cfRule type="containsText" dxfId="52" priority="4" operator="containsText" text="Open"/>
    <x:cfRule type="containsText" dxfId="53" priority="5" operator="containsText" text="Overdue"/>
    <x:cfRule type="containsText" dxfId="54" priority="6" operator="containsText" text="Ready"/>
    <x:cfRule type="containsText" dxfId="55" priority="7" operator="containsText" text="Closed"/>
  </x:conditionalFormatting>
  <x:dataValidations count="2">
    <x:dataValidation type="list" sqref="B6:B205">
      <x:formula1>"Official guidance,Controlled study,Development study,Validation study,Manufacturing data,Stability data,Reference qualification,Method monitoring,Deviation / investigation,Regulatory / quality record,Other"</x:formula1>
    </x:dataValidation>
    <x:dataValidation type="list" sqref="I6:I205">
      <x:formula1>"Hypothesis,Observed association,Designed-study support,Multi-source support,Contradictory or unresolved"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54" hidden="0" customWidth="1"/>
    <x:col min="4" max="4" width="25" hidden="0" customWidth="1"/>
    <x:col min="5" max="5" width="14" hidden="0" customWidth="1"/>
    <x:col min="6" max="6" width="29" hidden="0" customWidth="1"/>
    <x:col min="7" max="7" width="17" hidden="0" customWidth="1"/>
    <x:col min="8" max="8" width="17" hidden="0" customWidth="1"/>
    <x:col min="9" max="9" width="36" hidden="0" customWidth="1"/>
    <x:col min="10" max="10" width="18" hidden="0" customWidth="1"/>
  </x:cols>
  <x:sheetData>
    <x:row r="1" ht="28" customHeight="1">
      <x:c r="A1" s="3" t="str">
        <x:v>Review &amp; Actions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Assign evidence requests, studies, bridges, validation, specification review, regulatory assessment, and decisions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5" ht="38" customHeight="1">
      <x:c r="A5" s="47" t="str">
        <x:v>Action ID</x:v>
      </x:c>
      <x:c r="B5" s="48" t="str">
        <x:v>Linked IDs</x:v>
      </x:c>
      <x:c r="C5" s="48" t="str">
        <x:v>Action / decision needed</x:v>
      </x:c>
      <x:c r="D5" s="48" t="str">
        <x:v>Action type</x:v>
      </x:c>
      <x:c r="E5" s="48" t="str">
        <x:v>Priority</x:v>
      </x:c>
      <x:c r="F5" s="48" t="str">
        <x:v>Owner role</x:v>
      </x:c>
      <x:c r="G5" s="48" t="str">
        <x:v>Due date</x:v>
      </x:c>
      <x:c r="H5" s="48" t="str">
        <x:v>Status</x:v>
      </x:c>
      <x:c r="I5" s="48" t="str">
        <x:v>Resolution / decision reference</x:v>
      </x:c>
      <x:c r="J5" s="49" t="str">
        <x:v>Attention</x:v>
      </x:c>
    </x:row>
    <x:row r="6">
      <x:c r="A6" s="60" t="str">
        <x:v>ACT-001</x:v>
      </x:c>
      <x:c r="B6" s="60" t="str">
        <x:v>ATT-002; MTH-002; MTH-003; EVD-004; EVD-006</x:v>
      </x:c>
      <x:c r="C6" s="60" t="str">
        <x:v>Identify and assess the shifted charge population with orthogonal structural, process, functional, stability, method, and reference evidence.</x:v>
      </x:c>
      <x:c r="D6" s="60" t="str">
        <x:v>Study</x:v>
      </x:c>
      <x:c r="E6" s="60" t="str">
        <x:v>Critical</x:v>
      </x:c>
      <x:c r="F6" s="60" t="str">
        <x:v>Product quality / Analytical development</x:v>
      </x:c>
      <x:c r="G6" s="69" t="n">
        <x:v>46277</x:v>
      </x:c>
      <x:c r="H6" s="60" t="str">
        <x:v>In progress</x:v>
      </x:c>
      <x:c r="I6" s="60" t="str"/>
      <x:c r="J6" s="66" t="str">
        <x:f>IF(A6="","",IF(OR(B6="",C6="",D6="",E6="",F6="",G6="",H6=""),"Incomplete",IF(AND(H6&lt;&gt;"Closed",G6&lt;TODAY()),"Overdue",IF(H6="Closed","Closed","Open"))))</x:f>
        <x:v>Open</x:v>
      </x:c>
    </x:row>
    <x:row r="7">
      <x:c r="A7" s="61" t="str">
        <x:v>ACT-002</x:v>
      </x:c>
      <x:c r="B7" s="61" t="str">
        <x:v>REF-001; REF-002; REF-003; CHG-002; EVD-007; EVD-010</x:v>
      </x:c>
      <x:c r="C7" s="61" t="str">
        <x:v>Complete the use-specific PRS-01 to PRS-02 bridge, assigned-property review, stability, transition controls, and working-reference impact.</x:v>
      </x:c>
      <x:c r="D7" s="61" t="str">
        <x:v>Reference bridge</x:v>
      </x:c>
      <x:c r="E7" s="61" t="str">
        <x:v>Critical</x:v>
      </x:c>
      <x:c r="F7" s="61" t="str">
        <x:v>Reference owner / Product quality / Quality</x:v>
      </x:c>
      <x:c r="G7" s="70" t="n">
        <x:v>46285</x:v>
      </x:c>
      <x:c r="H7" s="61" t="str">
        <x:v>In progress</x:v>
      </x:c>
      <x:c r="I7" s="61" t="str"/>
      <x:c r="J7" s="67" t="str">
        <x:f>IF(A7="","",IF(OR(B7="",C7="",D7="",E7="",F7="",G7="",H7=""),"Incomplete",IF(AND(H7&lt;&gt;"Closed",G7&lt;TODAY()),"Overdue",IF(H7="Closed","Closed","Open"))))</x:f>
        <x:v>Open</x:v>
      </x:c>
    </x:row>
    <x:row r="8">
      <x:c r="A8" s="61" t="str">
        <x:v>ACT-003</x:v>
      </x:c>
      <x:c r="B8" s="61" t="str">
        <x:v>MTH-005; REF-003; REF-004; CHG-003; EVD-008</x:v>
      </x:c>
      <x:c r="C8" s="61" t="str">
        <x:v>Resolve potency procedure transfer, cell/reagent/reference/model controls, site variability, deviations, and reportability before transfer acceptance.</x:v>
      </x:c>
      <x:c r="D8" s="61" t="str">
        <x:v>Validation / transfer</x:v>
      </x:c>
      <x:c r="E8" s="61" t="str">
        <x:v>Critical</x:v>
      </x:c>
      <x:c r="F8" s="61" t="str">
        <x:v>Bioassay / Statistics / QC / Quality</x:v>
      </x:c>
      <x:c r="G8" s="70" t="n">
        <x:v>46290</x:v>
      </x:c>
      <x:c r="H8" s="61" t="str">
        <x:v>Blocked</x:v>
      </x:c>
      <x:c r="I8" s="61" t="str"/>
      <x:c r="J8" s="67" t="str">
        <x:f>IF(A8="","",IF(OR(B8="",C8="",D8="",E8="",F8="",G8="",H8=""),"Incomplete",IF(AND(H8&lt;&gt;"Closed",G8&lt;TODAY()),"Overdue",IF(H8="Closed","Closed","Open"))))</x:f>
        <x:v>Open</x:v>
      </x:c>
    </x:row>
    <x:row r="9">
      <x:c r="A9" s="61" t="str">
        <x:v>ACT-004</x:v>
      </x:c>
      <x:c r="B9" s="61" t="str">
        <x:v>BAS-004; CHG-001; CHG-004; EVD-004; EVD-005; EVD-006; EVD-009</x:v>
      </x:c>
      <x:c r="C9" s="61" t="str">
        <x:v>Document the product-specific specification/control-placement assessment only after attribute relevance, method capability, process control, stability, and regional evidence are reviewed.</x:v>
      </x:c>
      <x:c r="D9" s="61" t="str">
        <x:v>Specification review</x:v>
      </x:c>
      <x:c r="E9" s="61" t="str">
        <x:v>Critical</x:v>
      </x:c>
      <x:c r="F9" s="61" t="str">
        <x:v>Product quality / Quality / Regulatory CMC</x:v>
      </x:c>
      <x:c r="G9" s="70" t="n">
        <x:v>46305</x:v>
      </x:c>
      <x:c r="H9" s="61" t="str">
        <x:v>Blocked</x:v>
      </x:c>
      <x:c r="I9" s="61" t="str"/>
      <x:c r="J9" s="67" t="str">
        <x:f>IF(A9="","",IF(OR(B9="",C9="",D9="",E9="",F9="",G9="",H9=""),"Incomplete",IF(AND(H9&lt;&gt;"Closed",G9&lt;TODAY()),"Overdue",IF(H9="Closed","Closed","Open"))))</x:f>
        <x:v>Open</x:v>
      </x:c>
    </x:row>
    <x:row r="10">
      <x:c r="A10" s="61" t="str">
        <x:v>ACT-005</x:v>
      </x:c>
      <x:c r="B10" s="61" t="str">
        <x:v>CHG-001; CHG-002; CHG-003; CHG-004</x:v>
      </x:c>
      <x:c r="C10" s="61" t="str">
        <x:v>Record separate authorized comparability, reference transition, transfer, validation, specification, filing, and implementation decisions.</x:v>
      </x:c>
      <x:c r="D10" s="61" t="str">
        <x:v>Decision</x:v>
      </x:c>
      <x:c r="E10" s="61" t="str">
        <x:v>Critical</x:v>
      </x:c>
      <x:c r="F10" s="61" t="str">
        <x:v>Integrated change owner / Quality unit / Regulatory CMC</x:v>
      </x:c>
      <x:c r="G10" s="70" t="n">
        <x:v>46312</x:v>
      </x:c>
      <x:c r="H10" s="61" t="str">
        <x:v>Blocked</x:v>
      </x:c>
      <x:c r="I10" s="61" t="str"/>
      <x:c r="J10" s="67" t="str">
        <x:f>IF(A10="","",IF(OR(B10="",C10="",D10="",E10="",F10="",G10="",H10=""),"Incomplete",IF(AND(H10&lt;&gt;"Closed",G10&lt;TODAY()),"Overdue",IF(H10="Closed","Closed","Open"))))</x:f>
        <x:v>Open</x:v>
      </x:c>
    </x:row>
    <x:row r="11">
      <x:c r="A11" s="61"/>
      <x:c r="B11" s="61"/>
      <x:c r="C11" s="61"/>
      <x:c r="D11" s="61"/>
      <x:c r="E11" s="61"/>
      <x:c r="F11" s="61"/>
      <x:c r="G11" s="70"/>
      <x:c r="H11" s="61"/>
      <x:c r="I11" s="61"/>
      <x:c r="J11" s="67" t="str">
        <x:f>IF(A11="","",IF(OR(B11="",C11="",D11="",E11="",F11="",G11="",H11=""),"Incomplete",IF(AND(H11&lt;&gt;"Closed",G11&lt;TODAY()),"Overdue",IF(H11="Closed","Closed","Open"))))</x:f>
      </x:c>
    </x:row>
    <x:row r="12">
      <x:c r="A12" s="61"/>
      <x:c r="B12" s="61"/>
      <x:c r="C12" s="61"/>
      <x:c r="D12" s="61"/>
      <x:c r="E12" s="61"/>
      <x:c r="F12" s="61"/>
      <x:c r="G12" s="70"/>
      <x:c r="H12" s="61"/>
      <x:c r="I12" s="61"/>
      <x:c r="J12" s="67" t="str">
        <x:f>IF(A12="","",IF(OR(B12="",C12="",D12="",E12="",F12="",G12="",H12=""),"Incomplete",IF(AND(H12&lt;&gt;"Closed",G12&lt;TODAY()),"Overdue",IF(H12="Closed","Closed","Open"))))</x:f>
      </x:c>
    </x:row>
    <x:row r="13">
      <x:c r="A13" s="61"/>
      <x:c r="B13" s="61"/>
      <x:c r="C13" s="61"/>
      <x:c r="D13" s="61"/>
      <x:c r="E13" s="61"/>
      <x:c r="F13" s="61"/>
      <x:c r="G13" s="70"/>
      <x:c r="H13" s="61"/>
      <x:c r="I13" s="61"/>
      <x:c r="J13" s="67" t="str">
        <x:f>IF(A13="","",IF(OR(B13="",C13="",D13="",E13="",F13="",G13="",H13=""),"Incomplete",IF(AND(H13&lt;&gt;"Closed",G13&lt;TODAY()),"Overdue",IF(H13="Closed","Closed","Open"))))</x:f>
      </x:c>
    </x:row>
    <x:row r="14">
      <x:c r="A14" s="61"/>
      <x:c r="B14" s="61"/>
      <x:c r="C14" s="61"/>
      <x:c r="D14" s="61"/>
      <x:c r="E14" s="61"/>
      <x:c r="F14" s="61"/>
      <x:c r="G14" s="70"/>
      <x:c r="H14" s="61"/>
      <x:c r="I14" s="61"/>
      <x:c r="J14" s="67" t="str">
        <x:f>IF(A14="","",IF(OR(B14="",C14="",D14="",E14="",F14="",G14="",H14=""),"Incomplete",IF(AND(H14&lt;&gt;"Closed",G14&lt;TODAY()),"Overdue",IF(H14="Closed","Closed","Open"))))</x:f>
      </x:c>
    </x:row>
    <x:row r="15">
      <x:c r="A15" s="61"/>
      <x:c r="B15" s="61"/>
      <x:c r="C15" s="61"/>
      <x:c r="D15" s="61"/>
      <x:c r="E15" s="61"/>
      <x:c r="F15" s="61"/>
      <x:c r="G15" s="70"/>
      <x:c r="H15" s="61"/>
      <x:c r="I15" s="61"/>
      <x:c r="J15" s="67" t="str">
        <x:f>IF(A15="","",IF(OR(B15="",C15="",D15="",E15="",F15="",G15="",H15=""),"Incomplete",IF(AND(H15&lt;&gt;"Closed",G15&lt;TODAY()),"Overdue",IF(H15="Closed","Closed","Open"))))</x:f>
      </x:c>
    </x:row>
    <x:row r="16">
      <x:c r="A16" s="61"/>
      <x:c r="B16" s="61"/>
      <x:c r="C16" s="61"/>
      <x:c r="D16" s="61"/>
      <x:c r="E16" s="61"/>
      <x:c r="F16" s="61"/>
      <x:c r="G16" s="70"/>
      <x:c r="H16" s="61"/>
      <x:c r="I16" s="61"/>
      <x:c r="J16" s="67" t="str">
        <x:f>IF(A16="","",IF(OR(B16="",C16="",D16="",E16="",F16="",G16="",H16=""),"Incomplete",IF(AND(H16&lt;&gt;"Closed",G16&lt;TODAY()),"Overdue",IF(H16="Closed","Closed","Open"))))</x:f>
      </x:c>
    </x:row>
    <x:row r="17">
      <x:c r="A17" s="61"/>
      <x:c r="B17" s="61"/>
      <x:c r="C17" s="61"/>
      <x:c r="D17" s="61"/>
      <x:c r="E17" s="61"/>
      <x:c r="F17" s="61"/>
      <x:c r="G17" s="70"/>
      <x:c r="H17" s="61"/>
      <x:c r="I17" s="61"/>
      <x:c r="J17" s="67" t="str">
        <x:f>IF(A17="","",IF(OR(B17="",C17="",D17="",E17="",F17="",G17="",H17=""),"Incomplete",IF(AND(H17&lt;&gt;"Closed",G17&lt;TODAY()),"Overdue",IF(H17="Closed","Closed","Open"))))</x:f>
      </x:c>
    </x:row>
    <x:row r="18">
      <x:c r="A18" s="61"/>
      <x:c r="B18" s="61"/>
      <x:c r="C18" s="61"/>
      <x:c r="D18" s="61"/>
      <x:c r="E18" s="61"/>
      <x:c r="F18" s="61"/>
      <x:c r="G18" s="70"/>
      <x:c r="H18" s="61"/>
      <x:c r="I18" s="61"/>
      <x:c r="J18" s="67" t="str">
        <x:f>IF(A18="","",IF(OR(B18="",C18="",D18="",E18="",F18="",G18="",H18=""),"Incomplete",IF(AND(H18&lt;&gt;"Closed",G18&lt;TODAY()),"Overdue",IF(H18="Closed","Closed","Open"))))</x:f>
      </x:c>
    </x:row>
    <x:row r="19">
      <x:c r="A19" s="61"/>
      <x:c r="B19" s="61"/>
      <x:c r="C19" s="61"/>
      <x:c r="D19" s="61"/>
      <x:c r="E19" s="61"/>
      <x:c r="F19" s="61"/>
      <x:c r="G19" s="70"/>
      <x:c r="H19" s="61"/>
      <x:c r="I19" s="61"/>
      <x:c r="J19" s="67" t="str">
        <x:f>IF(A19="","",IF(OR(B19="",C19="",D19="",E19="",F19="",G19="",H19=""),"Incomplete",IF(AND(H19&lt;&gt;"Closed",G19&lt;TODAY()),"Overdue",IF(H19="Closed","Closed","Open"))))</x:f>
      </x:c>
    </x:row>
    <x:row r="20">
      <x:c r="A20" s="61"/>
      <x:c r="B20" s="61"/>
      <x:c r="C20" s="61"/>
      <x:c r="D20" s="61"/>
      <x:c r="E20" s="61"/>
      <x:c r="F20" s="61"/>
      <x:c r="G20" s="70"/>
      <x:c r="H20" s="61"/>
      <x:c r="I20" s="61"/>
      <x:c r="J20" s="67" t="str">
        <x:f>IF(A20="","",IF(OR(B20="",C20="",D20="",E20="",F20="",G20="",H20=""),"Incomplete",IF(AND(H20&lt;&gt;"Closed",G20&lt;TODAY()),"Overdue",IF(H20="Closed","Closed","Open"))))</x:f>
      </x:c>
    </x:row>
    <x:row r="21">
      <x:c r="A21" s="61"/>
      <x:c r="B21" s="61"/>
      <x:c r="C21" s="61"/>
      <x:c r="D21" s="61"/>
      <x:c r="E21" s="61"/>
      <x:c r="F21" s="61"/>
      <x:c r="G21" s="70"/>
      <x:c r="H21" s="61"/>
      <x:c r="I21" s="61"/>
      <x:c r="J21" s="67" t="str">
        <x:f>IF(A21="","",IF(OR(B21="",C21="",D21="",E21="",F21="",G21="",H21=""),"Incomplete",IF(AND(H21&lt;&gt;"Closed",G21&lt;TODAY()),"Overdue",IF(H21="Closed","Closed","Open"))))</x:f>
      </x:c>
    </x:row>
    <x:row r="22">
      <x:c r="A22" s="61"/>
      <x:c r="B22" s="61"/>
      <x:c r="C22" s="61"/>
      <x:c r="D22" s="61"/>
      <x:c r="E22" s="61"/>
      <x:c r="F22" s="61"/>
      <x:c r="G22" s="70"/>
      <x:c r="H22" s="61"/>
      <x:c r="I22" s="61"/>
      <x:c r="J22" s="67" t="str">
        <x:f>IF(A22="","",IF(OR(B22="",C22="",D22="",E22="",F22="",G22="",H22=""),"Incomplete",IF(AND(H22&lt;&gt;"Closed",G22&lt;TODAY()),"Overdue",IF(H22="Closed","Closed","Open"))))</x:f>
      </x:c>
    </x:row>
    <x:row r="23">
      <x:c r="A23" s="61"/>
      <x:c r="B23" s="61"/>
      <x:c r="C23" s="61"/>
      <x:c r="D23" s="61"/>
      <x:c r="E23" s="61"/>
      <x:c r="F23" s="61"/>
      <x:c r="G23" s="70"/>
      <x:c r="H23" s="61"/>
      <x:c r="I23" s="61"/>
      <x:c r="J23" s="67" t="str">
        <x:f>IF(A23="","",IF(OR(B23="",C23="",D23="",E23="",F23="",G23="",H23=""),"Incomplete",IF(AND(H23&lt;&gt;"Closed",G23&lt;TODAY()),"Overdue",IF(H23="Closed","Closed","Open"))))</x:f>
      </x:c>
    </x:row>
    <x:row r="24">
      <x:c r="A24" s="61"/>
      <x:c r="B24" s="61"/>
      <x:c r="C24" s="61"/>
      <x:c r="D24" s="61"/>
      <x:c r="E24" s="61"/>
      <x:c r="F24" s="61"/>
      <x:c r="G24" s="70"/>
      <x:c r="H24" s="61"/>
      <x:c r="I24" s="61"/>
      <x:c r="J24" s="67" t="str">
        <x:f>IF(A24="","",IF(OR(B24="",C24="",D24="",E24="",F24="",G24="",H24=""),"Incomplete",IF(AND(H24&lt;&gt;"Closed",G24&lt;TODAY()),"Overdue",IF(H24="Closed","Closed","Open"))))</x:f>
      </x:c>
    </x:row>
    <x:row r="25">
      <x:c r="A25" s="61"/>
      <x:c r="B25" s="61"/>
      <x:c r="C25" s="61"/>
      <x:c r="D25" s="61"/>
      <x:c r="E25" s="61"/>
      <x:c r="F25" s="61"/>
      <x:c r="G25" s="70"/>
      <x:c r="H25" s="61"/>
      <x:c r="I25" s="61"/>
      <x:c r="J25" s="67" t="str">
        <x:f>IF(A25="","",IF(OR(B25="",C25="",D25="",E25="",F25="",G25="",H25=""),"Incomplete",IF(AND(H25&lt;&gt;"Closed",G25&lt;TODAY()),"Overdue",IF(H25="Closed","Closed","Open"))))</x:f>
      </x:c>
    </x:row>
    <x:row r="26">
      <x:c r="A26" s="61"/>
      <x:c r="B26" s="61"/>
      <x:c r="C26" s="61"/>
      <x:c r="D26" s="61"/>
      <x:c r="E26" s="61"/>
      <x:c r="F26" s="61"/>
      <x:c r="G26" s="70"/>
      <x:c r="H26" s="61"/>
      <x:c r="I26" s="61"/>
      <x:c r="J26" s="67" t="str">
        <x:f>IF(A26="","",IF(OR(B26="",C26="",D26="",E26="",F26="",G26="",H26=""),"Incomplete",IF(AND(H26&lt;&gt;"Closed",G26&lt;TODAY()),"Overdue",IF(H26="Closed","Closed","Open"))))</x:f>
      </x:c>
    </x:row>
    <x:row r="27">
      <x:c r="A27" s="61"/>
      <x:c r="B27" s="61"/>
      <x:c r="C27" s="61"/>
      <x:c r="D27" s="61"/>
      <x:c r="E27" s="61"/>
      <x:c r="F27" s="61"/>
      <x:c r="G27" s="70"/>
      <x:c r="H27" s="61"/>
      <x:c r="I27" s="61"/>
      <x:c r="J27" s="67" t="str">
        <x:f>IF(A27="","",IF(OR(B27="",C27="",D27="",E27="",F27="",G27="",H27=""),"Incomplete",IF(AND(H27&lt;&gt;"Closed",G27&lt;TODAY()),"Overdue",IF(H27="Closed","Closed","Open"))))</x:f>
      </x:c>
    </x:row>
    <x:row r="28">
      <x:c r="A28" s="61"/>
      <x:c r="B28" s="61"/>
      <x:c r="C28" s="61"/>
      <x:c r="D28" s="61"/>
      <x:c r="E28" s="61"/>
      <x:c r="F28" s="61"/>
      <x:c r="G28" s="70"/>
      <x:c r="H28" s="61"/>
      <x:c r="I28" s="61"/>
      <x:c r="J28" s="67" t="str">
        <x:f>IF(A28="","",IF(OR(B28="",C28="",D28="",E28="",F28="",G28="",H28=""),"Incomplete",IF(AND(H28&lt;&gt;"Closed",G28&lt;TODAY()),"Overdue",IF(H28="Closed","Closed","Open"))))</x:f>
      </x:c>
    </x:row>
    <x:row r="29">
      <x:c r="A29" s="61"/>
      <x:c r="B29" s="61"/>
      <x:c r="C29" s="61"/>
      <x:c r="D29" s="61"/>
      <x:c r="E29" s="61"/>
      <x:c r="F29" s="61"/>
      <x:c r="G29" s="70"/>
      <x:c r="H29" s="61"/>
      <x:c r="I29" s="61"/>
      <x:c r="J29" s="67" t="str">
        <x:f>IF(A29="","",IF(OR(B29="",C29="",D29="",E29="",F29="",G29="",H29=""),"Incomplete",IF(AND(H29&lt;&gt;"Closed",G29&lt;TODAY()),"Overdue",IF(H29="Closed","Closed","Open"))))</x:f>
      </x:c>
    </x:row>
    <x:row r="30">
      <x:c r="A30" s="61"/>
      <x:c r="B30" s="61"/>
      <x:c r="C30" s="61"/>
      <x:c r="D30" s="61"/>
      <x:c r="E30" s="61"/>
      <x:c r="F30" s="61"/>
      <x:c r="G30" s="70"/>
      <x:c r="H30" s="61"/>
      <x:c r="I30" s="61"/>
      <x:c r="J30" s="67" t="str">
        <x:f>IF(A30="","",IF(OR(B30="",C30="",D30="",E30="",F30="",G30="",H30=""),"Incomplete",IF(AND(H30&lt;&gt;"Closed",G30&lt;TODAY()),"Overdue",IF(H30="Closed","Closed","Open"))))</x:f>
      </x:c>
    </x:row>
    <x:row r="31">
      <x:c r="A31" s="61"/>
      <x:c r="B31" s="61"/>
      <x:c r="C31" s="61"/>
      <x:c r="D31" s="61"/>
      <x:c r="E31" s="61"/>
      <x:c r="F31" s="61"/>
      <x:c r="G31" s="70"/>
      <x:c r="H31" s="61"/>
      <x:c r="I31" s="61"/>
      <x:c r="J31" s="67" t="str">
        <x:f>IF(A31="","",IF(OR(B31="",C31="",D31="",E31="",F31="",G31="",H31=""),"Incomplete",IF(AND(H31&lt;&gt;"Closed",G31&lt;TODAY()),"Overdue",IF(H31="Closed","Closed","Open"))))</x:f>
      </x:c>
    </x:row>
    <x:row r="32">
      <x:c r="A32" s="61"/>
      <x:c r="B32" s="61"/>
      <x:c r="C32" s="61"/>
      <x:c r="D32" s="61"/>
      <x:c r="E32" s="61"/>
      <x:c r="F32" s="61"/>
      <x:c r="G32" s="70"/>
      <x:c r="H32" s="61"/>
      <x:c r="I32" s="61"/>
      <x:c r="J32" s="67" t="str">
        <x:f>IF(A32="","",IF(OR(B32="",C32="",D32="",E32="",F32="",G32="",H32=""),"Incomplete",IF(AND(H32&lt;&gt;"Closed",G32&lt;TODAY()),"Overdue",IF(H32="Closed","Closed","Open"))))</x:f>
      </x:c>
    </x:row>
    <x:row r="33">
      <x:c r="A33" s="61"/>
      <x:c r="B33" s="61"/>
      <x:c r="C33" s="61"/>
      <x:c r="D33" s="61"/>
      <x:c r="E33" s="61"/>
      <x:c r="F33" s="61"/>
      <x:c r="G33" s="70"/>
      <x:c r="H33" s="61"/>
      <x:c r="I33" s="61"/>
      <x:c r="J33" s="67" t="str">
        <x:f>IF(A33="","",IF(OR(B33="",C33="",D33="",E33="",F33="",G33="",H33=""),"Incomplete",IF(AND(H33&lt;&gt;"Closed",G33&lt;TODAY()),"Overdue",IF(H33="Closed","Closed","Open"))))</x:f>
      </x:c>
    </x:row>
    <x:row r="34">
      <x:c r="A34" s="61"/>
      <x:c r="B34" s="61"/>
      <x:c r="C34" s="61"/>
      <x:c r="D34" s="61"/>
      <x:c r="E34" s="61"/>
      <x:c r="F34" s="61"/>
      <x:c r="G34" s="70"/>
      <x:c r="H34" s="61"/>
      <x:c r="I34" s="61"/>
      <x:c r="J34" s="67" t="str">
        <x:f>IF(A34="","",IF(OR(B34="",C34="",D34="",E34="",F34="",G34="",H34=""),"Incomplete",IF(AND(H34&lt;&gt;"Closed",G34&lt;TODAY()),"Overdue",IF(H34="Closed","Closed","Open"))))</x:f>
      </x:c>
    </x:row>
    <x:row r="35">
      <x:c r="A35" s="61"/>
      <x:c r="B35" s="61"/>
      <x:c r="C35" s="61"/>
      <x:c r="D35" s="61"/>
      <x:c r="E35" s="61"/>
      <x:c r="F35" s="61"/>
      <x:c r="G35" s="70"/>
      <x:c r="H35" s="61"/>
      <x:c r="I35" s="61"/>
      <x:c r="J35" s="67" t="str">
        <x:f>IF(A35="","",IF(OR(B35="",C35="",D35="",E35="",F35="",G35="",H35=""),"Incomplete",IF(AND(H35&lt;&gt;"Closed",G35&lt;TODAY()),"Overdue",IF(H35="Closed","Closed","Open"))))</x:f>
      </x:c>
    </x:row>
    <x:row r="36">
      <x:c r="A36" s="61"/>
      <x:c r="B36" s="61"/>
      <x:c r="C36" s="61"/>
      <x:c r="D36" s="61"/>
      <x:c r="E36" s="61"/>
      <x:c r="F36" s="61"/>
      <x:c r="G36" s="70"/>
      <x:c r="H36" s="61"/>
      <x:c r="I36" s="61"/>
      <x:c r="J36" s="67" t="str">
        <x:f>IF(A36="","",IF(OR(B36="",C36="",D36="",E36="",F36="",G36="",H36=""),"Incomplete",IF(AND(H36&lt;&gt;"Closed",G36&lt;TODAY()),"Overdue",IF(H36="Closed","Closed","Open"))))</x:f>
      </x:c>
    </x:row>
    <x:row r="37">
      <x:c r="A37" s="61"/>
      <x:c r="B37" s="61"/>
      <x:c r="C37" s="61"/>
      <x:c r="D37" s="61"/>
      <x:c r="E37" s="61"/>
      <x:c r="F37" s="61"/>
      <x:c r="G37" s="70"/>
      <x:c r="H37" s="61"/>
      <x:c r="I37" s="61"/>
      <x:c r="J37" s="67" t="str">
        <x:f>IF(A37="","",IF(OR(B37="",C37="",D37="",E37="",F37="",G37="",H37=""),"Incomplete",IF(AND(H37&lt;&gt;"Closed",G37&lt;TODAY()),"Overdue",IF(H37="Closed","Closed","Open"))))</x:f>
      </x:c>
    </x:row>
    <x:row r="38">
      <x:c r="A38" s="61"/>
      <x:c r="B38" s="61"/>
      <x:c r="C38" s="61"/>
      <x:c r="D38" s="61"/>
      <x:c r="E38" s="61"/>
      <x:c r="F38" s="61"/>
      <x:c r="G38" s="70"/>
      <x:c r="H38" s="61"/>
      <x:c r="I38" s="61"/>
      <x:c r="J38" s="67" t="str">
        <x:f>IF(A38="","",IF(OR(B38="",C38="",D38="",E38="",F38="",G38="",H38=""),"Incomplete",IF(AND(H38&lt;&gt;"Closed",G38&lt;TODAY()),"Overdue",IF(H38="Closed","Closed","Open"))))</x:f>
      </x:c>
    </x:row>
    <x:row r="39">
      <x:c r="A39" s="61"/>
      <x:c r="B39" s="61"/>
      <x:c r="C39" s="61"/>
      <x:c r="D39" s="61"/>
      <x:c r="E39" s="61"/>
      <x:c r="F39" s="61"/>
      <x:c r="G39" s="70"/>
      <x:c r="H39" s="61"/>
      <x:c r="I39" s="61"/>
      <x:c r="J39" s="67" t="str">
        <x:f>IF(A39="","",IF(OR(B39="",C39="",D39="",E39="",F39="",G39="",H39=""),"Incomplete",IF(AND(H39&lt;&gt;"Closed",G39&lt;TODAY()),"Overdue",IF(H39="Closed","Closed","Open"))))</x:f>
      </x:c>
    </x:row>
    <x:row r="40">
      <x:c r="A40" s="61"/>
      <x:c r="B40" s="61"/>
      <x:c r="C40" s="61"/>
      <x:c r="D40" s="61"/>
      <x:c r="E40" s="61"/>
      <x:c r="F40" s="61"/>
      <x:c r="G40" s="70"/>
      <x:c r="H40" s="61"/>
      <x:c r="I40" s="61"/>
      <x:c r="J40" s="67" t="str">
        <x:f>IF(A40="","",IF(OR(B40="",C40="",D40="",E40="",F40="",G40="",H40=""),"Incomplete",IF(AND(H40&lt;&gt;"Closed",G40&lt;TODAY()),"Overdue",IF(H40="Closed","Closed","Open"))))</x:f>
      </x:c>
    </x:row>
    <x:row r="41">
      <x:c r="A41" s="61"/>
      <x:c r="B41" s="61"/>
      <x:c r="C41" s="61"/>
      <x:c r="D41" s="61"/>
      <x:c r="E41" s="61"/>
      <x:c r="F41" s="61"/>
      <x:c r="G41" s="70"/>
      <x:c r="H41" s="61"/>
      <x:c r="I41" s="61"/>
      <x:c r="J41" s="67" t="str">
        <x:f>IF(A41="","",IF(OR(B41="",C41="",D41="",E41="",F41="",G41="",H41=""),"Incomplete",IF(AND(H41&lt;&gt;"Closed",G41&lt;TODAY()),"Overdue",IF(H41="Closed","Closed","Open"))))</x:f>
      </x:c>
    </x:row>
    <x:row r="42">
      <x:c r="A42" s="61"/>
      <x:c r="B42" s="61"/>
      <x:c r="C42" s="61"/>
      <x:c r="D42" s="61"/>
      <x:c r="E42" s="61"/>
      <x:c r="F42" s="61"/>
      <x:c r="G42" s="70"/>
      <x:c r="H42" s="61"/>
      <x:c r="I42" s="61"/>
      <x:c r="J42" s="67" t="str">
        <x:f>IF(A42="","",IF(OR(B42="",C42="",D42="",E42="",F42="",G42="",H42=""),"Incomplete",IF(AND(H42&lt;&gt;"Closed",G42&lt;TODAY()),"Overdue",IF(H42="Closed","Closed","Open"))))</x:f>
      </x:c>
    </x:row>
    <x:row r="43">
      <x:c r="A43" s="61"/>
      <x:c r="B43" s="61"/>
      <x:c r="C43" s="61"/>
      <x:c r="D43" s="61"/>
      <x:c r="E43" s="61"/>
      <x:c r="F43" s="61"/>
      <x:c r="G43" s="70"/>
      <x:c r="H43" s="61"/>
      <x:c r="I43" s="61"/>
      <x:c r="J43" s="67" t="str">
        <x:f>IF(A43="","",IF(OR(B43="",C43="",D43="",E43="",F43="",G43="",H43=""),"Incomplete",IF(AND(H43&lt;&gt;"Closed",G43&lt;TODAY()),"Overdue",IF(H43="Closed","Closed","Open"))))</x:f>
      </x:c>
    </x:row>
    <x:row r="44">
      <x:c r="A44" s="61"/>
      <x:c r="B44" s="61"/>
      <x:c r="C44" s="61"/>
      <x:c r="D44" s="61"/>
      <x:c r="E44" s="61"/>
      <x:c r="F44" s="61"/>
      <x:c r="G44" s="70"/>
      <x:c r="H44" s="61"/>
      <x:c r="I44" s="61"/>
      <x:c r="J44" s="67" t="str">
        <x:f>IF(A44="","",IF(OR(B44="",C44="",D44="",E44="",F44="",G44="",H44=""),"Incomplete",IF(AND(H44&lt;&gt;"Closed",G44&lt;TODAY()),"Overdue",IF(H44="Closed","Closed","Open"))))</x:f>
      </x:c>
    </x:row>
    <x:row r="45">
      <x:c r="A45" s="61"/>
      <x:c r="B45" s="61"/>
      <x:c r="C45" s="61"/>
      <x:c r="D45" s="61"/>
      <x:c r="E45" s="61"/>
      <x:c r="F45" s="61"/>
      <x:c r="G45" s="70"/>
      <x:c r="H45" s="61"/>
      <x:c r="I45" s="61"/>
      <x:c r="J45" s="67" t="str">
        <x:f>IF(A45="","",IF(OR(B45="",C45="",D45="",E45="",F45="",G45="",H45=""),"Incomplete",IF(AND(H45&lt;&gt;"Closed",G45&lt;TODAY()),"Overdue",IF(H45="Closed","Closed","Open"))))</x:f>
      </x:c>
    </x:row>
    <x:row r="46">
      <x:c r="A46" s="61"/>
      <x:c r="B46" s="61"/>
      <x:c r="C46" s="61"/>
      <x:c r="D46" s="61"/>
      <x:c r="E46" s="61"/>
      <x:c r="F46" s="61"/>
      <x:c r="G46" s="70"/>
      <x:c r="H46" s="61"/>
      <x:c r="I46" s="61"/>
      <x:c r="J46" s="67" t="str">
        <x:f>IF(A46="","",IF(OR(B46="",C46="",D46="",E46="",F46="",G46="",H46=""),"Incomplete",IF(AND(H46&lt;&gt;"Closed",G46&lt;TODAY()),"Overdue",IF(H46="Closed","Closed","Open"))))</x:f>
      </x:c>
    </x:row>
    <x:row r="47">
      <x:c r="A47" s="61"/>
      <x:c r="B47" s="61"/>
      <x:c r="C47" s="61"/>
      <x:c r="D47" s="61"/>
      <x:c r="E47" s="61"/>
      <x:c r="F47" s="61"/>
      <x:c r="G47" s="70"/>
      <x:c r="H47" s="61"/>
      <x:c r="I47" s="61"/>
      <x:c r="J47" s="67" t="str">
        <x:f>IF(A47="","",IF(OR(B47="",C47="",D47="",E47="",F47="",G47="",H47=""),"Incomplete",IF(AND(H47&lt;&gt;"Closed",G47&lt;TODAY()),"Overdue",IF(H47="Closed","Closed","Open"))))</x:f>
      </x:c>
    </x:row>
    <x:row r="48">
      <x:c r="A48" s="61"/>
      <x:c r="B48" s="61"/>
      <x:c r="C48" s="61"/>
      <x:c r="D48" s="61"/>
      <x:c r="E48" s="61"/>
      <x:c r="F48" s="61"/>
      <x:c r="G48" s="70"/>
      <x:c r="H48" s="61"/>
      <x:c r="I48" s="61"/>
      <x:c r="J48" s="67" t="str">
        <x:f>IF(A48="","",IF(OR(B48="",C48="",D48="",E48="",F48="",G48="",H48=""),"Incomplete",IF(AND(H48&lt;&gt;"Closed",G48&lt;TODAY()),"Overdue",IF(H48="Closed","Closed","Open"))))</x:f>
      </x:c>
    </x:row>
    <x:row r="49">
      <x:c r="A49" s="61"/>
      <x:c r="B49" s="61"/>
      <x:c r="C49" s="61"/>
      <x:c r="D49" s="61"/>
      <x:c r="E49" s="61"/>
      <x:c r="F49" s="61"/>
      <x:c r="G49" s="70"/>
      <x:c r="H49" s="61"/>
      <x:c r="I49" s="61"/>
      <x:c r="J49" s="67" t="str">
        <x:f>IF(A49="","",IF(OR(B49="",C49="",D49="",E49="",F49="",G49="",H49=""),"Incomplete",IF(AND(H49&lt;&gt;"Closed",G49&lt;TODAY()),"Overdue",IF(H49="Closed","Closed","Open"))))</x:f>
      </x:c>
    </x:row>
    <x:row r="50">
      <x:c r="A50" s="61"/>
      <x:c r="B50" s="61"/>
      <x:c r="C50" s="61"/>
      <x:c r="D50" s="61"/>
      <x:c r="E50" s="61"/>
      <x:c r="F50" s="61"/>
      <x:c r="G50" s="70"/>
      <x:c r="H50" s="61"/>
      <x:c r="I50" s="61"/>
      <x:c r="J50" s="67" t="str">
        <x:f>IF(A50="","",IF(OR(B50="",C50="",D50="",E50="",F50="",G50="",H50=""),"Incomplete",IF(AND(H50&lt;&gt;"Closed",G50&lt;TODAY()),"Overdue",IF(H50="Closed","Closed","Open"))))</x:f>
      </x:c>
    </x:row>
    <x:row r="51">
      <x:c r="A51" s="61"/>
      <x:c r="B51" s="61"/>
      <x:c r="C51" s="61"/>
      <x:c r="D51" s="61"/>
      <x:c r="E51" s="61"/>
      <x:c r="F51" s="61"/>
      <x:c r="G51" s="70"/>
      <x:c r="H51" s="61"/>
      <x:c r="I51" s="61"/>
      <x:c r="J51" s="67" t="str">
        <x:f>IF(A51="","",IF(OR(B51="",C51="",D51="",E51="",F51="",G51="",H51=""),"Incomplete",IF(AND(H51&lt;&gt;"Closed",G51&lt;TODAY()),"Overdue",IF(H51="Closed","Closed","Open"))))</x:f>
      </x:c>
    </x:row>
    <x:row r="52">
      <x:c r="A52" s="61"/>
      <x:c r="B52" s="61"/>
      <x:c r="C52" s="61"/>
      <x:c r="D52" s="61"/>
      <x:c r="E52" s="61"/>
      <x:c r="F52" s="61"/>
      <x:c r="G52" s="70"/>
      <x:c r="H52" s="61"/>
      <x:c r="I52" s="61"/>
      <x:c r="J52" s="67" t="str">
        <x:f>IF(A52="","",IF(OR(B52="",C52="",D52="",E52="",F52="",G52="",H52=""),"Incomplete",IF(AND(H52&lt;&gt;"Closed",G52&lt;TODAY()),"Overdue",IF(H52="Closed","Closed","Open"))))</x:f>
      </x:c>
    </x:row>
    <x:row r="53">
      <x:c r="A53" s="61"/>
      <x:c r="B53" s="61"/>
      <x:c r="C53" s="61"/>
      <x:c r="D53" s="61"/>
      <x:c r="E53" s="61"/>
      <x:c r="F53" s="61"/>
      <x:c r="G53" s="70"/>
      <x:c r="H53" s="61"/>
      <x:c r="I53" s="61"/>
      <x:c r="J53" s="67" t="str">
        <x:f>IF(A53="","",IF(OR(B53="",C53="",D53="",E53="",F53="",G53="",H53=""),"Incomplete",IF(AND(H53&lt;&gt;"Closed",G53&lt;TODAY()),"Overdue",IF(H53="Closed","Closed","Open"))))</x:f>
      </x:c>
    </x:row>
    <x:row r="54">
      <x:c r="A54" s="61"/>
      <x:c r="B54" s="61"/>
      <x:c r="C54" s="61"/>
      <x:c r="D54" s="61"/>
      <x:c r="E54" s="61"/>
      <x:c r="F54" s="61"/>
      <x:c r="G54" s="70"/>
      <x:c r="H54" s="61"/>
      <x:c r="I54" s="61"/>
      <x:c r="J54" s="67" t="str">
        <x:f>IF(A54="","",IF(OR(B54="",C54="",D54="",E54="",F54="",G54="",H54=""),"Incomplete",IF(AND(H54&lt;&gt;"Closed",G54&lt;TODAY()),"Overdue",IF(H54="Closed","Closed","Open"))))</x:f>
      </x:c>
    </x:row>
    <x:row r="55">
      <x:c r="A55" s="61"/>
      <x:c r="B55" s="61"/>
      <x:c r="C55" s="61"/>
      <x:c r="D55" s="61"/>
      <x:c r="E55" s="61"/>
      <x:c r="F55" s="61"/>
      <x:c r="G55" s="70"/>
      <x:c r="H55" s="61"/>
      <x:c r="I55" s="61"/>
      <x:c r="J55" s="67" t="str">
        <x:f>IF(A55="","",IF(OR(B55="",C55="",D55="",E55="",F55="",G55="",H55=""),"Incomplete",IF(AND(H55&lt;&gt;"Closed",G55&lt;TODAY()),"Overdue",IF(H55="Closed","Closed","Open"))))</x:f>
      </x:c>
    </x:row>
    <x:row r="56">
      <x:c r="A56" s="61"/>
      <x:c r="B56" s="61"/>
      <x:c r="C56" s="61"/>
      <x:c r="D56" s="61"/>
      <x:c r="E56" s="61"/>
      <x:c r="F56" s="61"/>
      <x:c r="G56" s="70"/>
      <x:c r="H56" s="61"/>
      <x:c r="I56" s="61"/>
      <x:c r="J56" s="67" t="str">
        <x:f>IF(A56="","",IF(OR(B56="",C56="",D56="",E56="",F56="",G56="",H56=""),"Incomplete",IF(AND(H56&lt;&gt;"Closed",G56&lt;TODAY()),"Overdue",IF(H56="Closed","Closed","Open"))))</x:f>
      </x:c>
    </x:row>
    <x:row r="57">
      <x:c r="A57" s="61"/>
      <x:c r="B57" s="61"/>
      <x:c r="C57" s="61"/>
      <x:c r="D57" s="61"/>
      <x:c r="E57" s="61"/>
      <x:c r="F57" s="61"/>
      <x:c r="G57" s="70"/>
      <x:c r="H57" s="61"/>
      <x:c r="I57" s="61"/>
      <x:c r="J57" s="67" t="str">
        <x:f>IF(A57="","",IF(OR(B57="",C57="",D57="",E57="",F57="",G57="",H57=""),"Incomplete",IF(AND(H57&lt;&gt;"Closed",G57&lt;TODAY()),"Overdue",IF(H57="Closed","Closed","Open"))))</x:f>
      </x:c>
    </x:row>
    <x:row r="58">
      <x:c r="A58" s="61"/>
      <x:c r="B58" s="61"/>
      <x:c r="C58" s="61"/>
      <x:c r="D58" s="61"/>
      <x:c r="E58" s="61"/>
      <x:c r="F58" s="61"/>
      <x:c r="G58" s="70"/>
      <x:c r="H58" s="61"/>
      <x:c r="I58" s="61"/>
      <x:c r="J58" s="67" t="str">
        <x:f>IF(A58="","",IF(OR(B58="",C58="",D58="",E58="",F58="",G58="",H58=""),"Incomplete",IF(AND(H58&lt;&gt;"Closed",G58&lt;TODAY()),"Overdue",IF(H58="Closed","Closed","Open"))))</x:f>
      </x:c>
    </x:row>
    <x:row r="59">
      <x:c r="A59" s="61"/>
      <x:c r="B59" s="61"/>
      <x:c r="C59" s="61"/>
      <x:c r="D59" s="61"/>
      <x:c r="E59" s="61"/>
      <x:c r="F59" s="61"/>
      <x:c r="G59" s="70"/>
      <x:c r="H59" s="61"/>
      <x:c r="I59" s="61"/>
      <x:c r="J59" s="67" t="str">
        <x:f>IF(A59="","",IF(OR(B59="",C59="",D59="",E59="",F59="",G59="",H59=""),"Incomplete",IF(AND(H59&lt;&gt;"Closed",G59&lt;TODAY()),"Overdue",IF(H59="Closed","Closed","Open"))))</x:f>
      </x:c>
    </x:row>
    <x:row r="60">
      <x:c r="A60" s="61"/>
      <x:c r="B60" s="61"/>
      <x:c r="C60" s="61"/>
      <x:c r="D60" s="61"/>
      <x:c r="E60" s="61"/>
      <x:c r="F60" s="61"/>
      <x:c r="G60" s="70"/>
      <x:c r="H60" s="61"/>
      <x:c r="I60" s="61"/>
      <x:c r="J60" s="67" t="str">
        <x:f>IF(A60="","",IF(OR(B60="",C60="",D60="",E60="",F60="",G60="",H60=""),"Incomplete",IF(AND(H60&lt;&gt;"Closed",G60&lt;TODAY()),"Overdue",IF(H60="Closed","Closed","Open"))))</x:f>
      </x:c>
    </x:row>
    <x:row r="61">
      <x:c r="A61" s="61"/>
      <x:c r="B61" s="61"/>
      <x:c r="C61" s="61"/>
      <x:c r="D61" s="61"/>
      <x:c r="E61" s="61"/>
      <x:c r="F61" s="61"/>
      <x:c r="G61" s="70"/>
      <x:c r="H61" s="61"/>
      <x:c r="I61" s="61"/>
      <x:c r="J61" s="67" t="str">
        <x:f>IF(A61="","",IF(OR(B61="",C61="",D61="",E61="",F61="",G61="",H61=""),"Incomplete",IF(AND(H61&lt;&gt;"Closed",G61&lt;TODAY()),"Overdue",IF(H61="Closed","Closed","Open"))))</x:f>
      </x:c>
    </x:row>
    <x:row r="62">
      <x:c r="A62" s="61"/>
      <x:c r="B62" s="61"/>
      <x:c r="C62" s="61"/>
      <x:c r="D62" s="61"/>
      <x:c r="E62" s="61"/>
      <x:c r="F62" s="61"/>
      <x:c r="G62" s="70"/>
      <x:c r="H62" s="61"/>
      <x:c r="I62" s="61"/>
      <x:c r="J62" s="67" t="str">
        <x:f>IF(A62="","",IF(OR(B62="",C62="",D62="",E62="",F62="",G62="",H62=""),"Incomplete",IF(AND(H62&lt;&gt;"Closed",G62&lt;TODAY()),"Overdue",IF(H62="Closed","Closed","Open"))))</x:f>
      </x:c>
    </x:row>
    <x:row r="63">
      <x:c r="A63" s="61"/>
      <x:c r="B63" s="61"/>
      <x:c r="C63" s="61"/>
      <x:c r="D63" s="61"/>
      <x:c r="E63" s="61"/>
      <x:c r="F63" s="61"/>
      <x:c r="G63" s="70"/>
      <x:c r="H63" s="61"/>
      <x:c r="I63" s="61"/>
      <x:c r="J63" s="67" t="str">
        <x:f>IF(A63="","",IF(OR(B63="",C63="",D63="",E63="",F63="",G63="",H63=""),"Incomplete",IF(AND(H63&lt;&gt;"Closed",G63&lt;TODAY()),"Overdue",IF(H63="Closed","Closed","Open"))))</x:f>
      </x:c>
    </x:row>
    <x:row r="64">
      <x:c r="A64" s="61"/>
      <x:c r="B64" s="61"/>
      <x:c r="C64" s="61"/>
      <x:c r="D64" s="61"/>
      <x:c r="E64" s="61"/>
      <x:c r="F64" s="61"/>
      <x:c r="G64" s="70"/>
      <x:c r="H64" s="61"/>
      <x:c r="I64" s="61"/>
      <x:c r="J64" s="67" t="str">
        <x:f>IF(A64="","",IF(OR(B64="",C64="",D64="",E64="",F64="",G64="",H64=""),"Incomplete",IF(AND(H64&lt;&gt;"Closed",G64&lt;TODAY()),"Overdue",IF(H64="Closed","Closed","Open"))))</x:f>
      </x:c>
    </x:row>
    <x:row r="65">
      <x:c r="A65" s="61"/>
      <x:c r="B65" s="61"/>
      <x:c r="C65" s="61"/>
      <x:c r="D65" s="61"/>
      <x:c r="E65" s="61"/>
      <x:c r="F65" s="61"/>
      <x:c r="G65" s="70"/>
      <x:c r="H65" s="61"/>
      <x:c r="I65" s="61"/>
      <x:c r="J65" s="67" t="str">
        <x:f>IF(A65="","",IF(OR(B65="",C65="",D65="",E65="",F65="",G65="",H65=""),"Incomplete",IF(AND(H65&lt;&gt;"Closed",G65&lt;TODAY()),"Overdue",IF(H65="Closed","Closed","Open"))))</x:f>
      </x:c>
    </x:row>
    <x:row r="66">
      <x:c r="A66" s="61"/>
      <x:c r="B66" s="61"/>
      <x:c r="C66" s="61"/>
      <x:c r="D66" s="61"/>
      <x:c r="E66" s="61"/>
      <x:c r="F66" s="61"/>
      <x:c r="G66" s="70"/>
      <x:c r="H66" s="61"/>
      <x:c r="I66" s="61"/>
      <x:c r="J66" s="67" t="str">
        <x:f>IF(A66="","",IF(OR(B66="",C66="",D66="",E66="",F66="",G66="",H66=""),"Incomplete",IF(AND(H66&lt;&gt;"Closed",G66&lt;TODAY()),"Overdue",IF(H66="Closed","Closed","Open"))))</x:f>
      </x:c>
    </x:row>
    <x:row r="67">
      <x:c r="A67" s="61"/>
      <x:c r="B67" s="61"/>
      <x:c r="C67" s="61"/>
      <x:c r="D67" s="61"/>
      <x:c r="E67" s="61"/>
      <x:c r="F67" s="61"/>
      <x:c r="G67" s="70"/>
      <x:c r="H67" s="61"/>
      <x:c r="I67" s="61"/>
      <x:c r="J67" s="67" t="str">
        <x:f>IF(A67="","",IF(OR(B67="",C67="",D67="",E67="",F67="",G67="",H67=""),"Incomplete",IF(AND(H67&lt;&gt;"Closed",G67&lt;TODAY()),"Overdue",IF(H67="Closed","Closed","Open"))))</x:f>
      </x:c>
    </x:row>
    <x:row r="68">
      <x:c r="A68" s="61"/>
      <x:c r="B68" s="61"/>
      <x:c r="C68" s="61"/>
      <x:c r="D68" s="61"/>
      <x:c r="E68" s="61"/>
      <x:c r="F68" s="61"/>
      <x:c r="G68" s="70"/>
      <x:c r="H68" s="61"/>
      <x:c r="I68" s="61"/>
      <x:c r="J68" s="67" t="str">
        <x:f>IF(A68="","",IF(OR(B68="",C68="",D68="",E68="",F68="",G68="",H68=""),"Incomplete",IF(AND(H68&lt;&gt;"Closed",G68&lt;TODAY()),"Overdue",IF(H68="Closed","Closed","Open"))))</x:f>
      </x:c>
    </x:row>
    <x:row r="69">
      <x:c r="A69" s="61"/>
      <x:c r="B69" s="61"/>
      <x:c r="C69" s="61"/>
      <x:c r="D69" s="61"/>
      <x:c r="E69" s="61"/>
      <x:c r="F69" s="61"/>
      <x:c r="G69" s="70"/>
      <x:c r="H69" s="61"/>
      <x:c r="I69" s="61"/>
      <x:c r="J69" s="67" t="str">
        <x:f>IF(A69="","",IF(OR(B69="",C69="",D69="",E69="",F69="",G69="",H69=""),"Incomplete",IF(AND(H69&lt;&gt;"Closed",G69&lt;TODAY()),"Overdue",IF(H69="Closed","Closed","Open"))))</x:f>
      </x:c>
    </x:row>
    <x:row r="70">
      <x:c r="A70" s="61"/>
      <x:c r="B70" s="61"/>
      <x:c r="C70" s="61"/>
      <x:c r="D70" s="61"/>
      <x:c r="E70" s="61"/>
      <x:c r="F70" s="61"/>
      <x:c r="G70" s="70"/>
      <x:c r="H70" s="61"/>
      <x:c r="I70" s="61"/>
      <x:c r="J70" s="67" t="str">
        <x:f>IF(A70="","",IF(OR(B70="",C70="",D70="",E70="",F70="",G70="",H70=""),"Incomplete",IF(AND(H70&lt;&gt;"Closed",G70&lt;TODAY()),"Overdue",IF(H70="Closed","Closed","Open"))))</x:f>
      </x:c>
    </x:row>
    <x:row r="71">
      <x:c r="A71" s="61"/>
      <x:c r="B71" s="61"/>
      <x:c r="C71" s="61"/>
      <x:c r="D71" s="61"/>
      <x:c r="E71" s="61"/>
      <x:c r="F71" s="61"/>
      <x:c r="G71" s="70"/>
      <x:c r="H71" s="61"/>
      <x:c r="I71" s="61"/>
      <x:c r="J71" s="67" t="str">
        <x:f>IF(A71="","",IF(OR(B71="",C71="",D71="",E71="",F71="",G71="",H71=""),"Incomplete",IF(AND(H71&lt;&gt;"Closed",G71&lt;TODAY()),"Overdue",IF(H71="Closed","Closed","Open"))))</x:f>
      </x:c>
    </x:row>
    <x:row r="72">
      <x:c r="A72" s="61"/>
      <x:c r="B72" s="61"/>
      <x:c r="C72" s="61"/>
      <x:c r="D72" s="61"/>
      <x:c r="E72" s="61"/>
      <x:c r="F72" s="61"/>
      <x:c r="G72" s="70"/>
      <x:c r="H72" s="61"/>
      <x:c r="I72" s="61"/>
      <x:c r="J72" s="67" t="str">
        <x:f>IF(A72="","",IF(OR(B72="",C72="",D72="",E72="",F72="",G72="",H72=""),"Incomplete",IF(AND(H72&lt;&gt;"Closed",G72&lt;TODAY()),"Overdue",IF(H72="Closed","Closed","Open"))))</x:f>
      </x:c>
    </x:row>
    <x:row r="73">
      <x:c r="A73" s="61"/>
      <x:c r="B73" s="61"/>
      <x:c r="C73" s="61"/>
      <x:c r="D73" s="61"/>
      <x:c r="E73" s="61"/>
      <x:c r="F73" s="61"/>
      <x:c r="G73" s="70"/>
      <x:c r="H73" s="61"/>
      <x:c r="I73" s="61"/>
      <x:c r="J73" s="67" t="str">
        <x:f>IF(A73="","",IF(OR(B73="",C73="",D73="",E73="",F73="",G73="",H73=""),"Incomplete",IF(AND(H73&lt;&gt;"Closed",G73&lt;TODAY()),"Overdue",IF(H73="Closed","Closed","Open"))))</x:f>
      </x:c>
    </x:row>
    <x:row r="74">
      <x:c r="A74" s="61"/>
      <x:c r="B74" s="61"/>
      <x:c r="C74" s="61"/>
      <x:c r="D74" s="61"/>
      <x:c r="E74" s="61"/>
      <x:c r="F74" s="61"/>
      <x:c r="G74" s="70"/>
      <x:c r="H74" s="61"/>
      <x:c r="I74" s="61"/>
      <x:c r="J74" s="67" t="str">
        <x:f>IF(A74="","",IF(OR(B74="",C74="",D74="",E74="",F74="",G74="",H74=""),"Incomplete",IF(AND(H74&lt;&gt;"Closed",G74&lt;TODAY()),"Overdue",IF(H74="Closed","Closed","Open"))))</x:f>
      </x:c>
    </x:row>
    <x:row r="75">
      <x:c r="A75" s="61"/>
      <x:c r="B75" s="61"/>
      <x:c r="C75" s="61"/>
      <x:c r="D75" s="61"/>
      <x:c r="E75" s="61"/>
      <x:c r="F75" s="61"/>
      <x:c r="G75" s="70"/>
      <x:c r="H75" s="61"/>
      <x:c r="I75" s="61"/>
      <x:c r="J75" s="67" t="str">
        <x:f>IF(A75="","",IF(OR(B75="",C75="",D75="",E75="",F75="",G75="",H75=""),"Incomplete",IF(AND(H75&lt;&gt;"Closed",G75&lt;TODAY()),"Overdue",IF(H75="Closed","Closed","Open"))))</x:f>
      </x:c>
    </x:row>
    <x:row r="76">
      <x:c r="A76" s="61"/>
      <x:c r="B76" s="61"/>
      <x:c r="C76" s="61"/>
      <x:c r="D76" s="61"/>
      <x:c r="E76" s="61"/>
      <x:c r="F76" s="61"/>
      <x:c r="G76" s="70"/>
      <x:c r="H76" s="61"/>
      <x:c r="I76" s="61"/>
      <x:c r="J76" s="67" t="str">
        <x:f>IF(A76="","",IF(OR(B76="",C76="",D76="",E76="",F76="",G76="",H76=""),"Incomplete",IF(AND(H76&lt;&gt;"Closed",G76&lt;TODAY()),"Overdue",IF(H76="Closed","Closed","Open"))))</x:f>
      </x:c>
    </x:row>
    <x:row r="77">
      <x:c r="A77" s="61"/>
      <x:c r="B77" s="61"/>
      <x:c r="C77" s="61"/>
      <x:c r="D77" s="61"/>
      <x:c r="E77" s="61"/>
      <x:c r="F77" s="61"/>
      <x:c r="G77" s="70"/>
      <x:c r="H77" s="61"/>
      <x:c r="I77" s="61"/>
      <x:c r="J77" s="67" t="str">
        <x:f>IF(A77="","",IF(OR(B77="",C77="",D77="",E77="",F77="",G77="",H77=""),"Incomplete",IF(AND(H77&lt;&gt;"Closed",G77&lt;TODAY()),"Overdue",IF(H77="Closed","Closed","Open"))))</x:f>
      </x:c>
    </x:row>
    <x:row r="78">
      <x:c r="A78" s="61"/>
      <x:c r="B78" s="61"/>
      <x:c r="C78" s="61"/>
      <x:c r="D78" s="61"/>
      <x:c r="E78" s="61"/>
      <x:c r="F78" s="61"/>
      <x:c r="G78" s="70"/>
      <x:c r="H78" s="61"/>
      <x:c r="I78" s="61"/>
      <x:c r="J78" s="67" t="str">
        <x:f>IF(A78="","",IF(OR(B78="",C78="",D78="",E78="",F78="",G78="",H78=""),"Incomplete",IF(AND(H78&lt;&gt;"Closed",G78&lt;TODAY()),"Overdue",IF(H78="Closed","Closed","Open"))))</x:f>
      </x:c>
    </x:row>
    <x:row r="79">
      <x:c r="A79" s="61"/>
      <x:c r="B79" s="61"/>
      <x:c r="C79" s="61"/>
      <x:c r="D79" s="61"/>
      <x:c r="E79" s="61"/>
      <x:c r="F79" s="61"/>
      <x:c r="G79" s="70"/>
      <x:c r="H79" s="61"/>
      <x:c r="I79" s="61"/>
      <x:c r="J79" s="67" t="str">
        <x:f>IF(A79="","",IF(OR(B79="",C79="",D79="",E79="",F79="",G79="",H79=""),"Incomplete",IF(AND(H79&lt;&gt;"Closed",G79&lt;TODAY()),"Overdue",IF(H79="Closed","Closed","Open"))))</x:f>
      </x:c>
    </x:row>
    <x:row r="80">
      <x:c r="A80" s="61"/>
      <x:c r="B80" s="61"/>
      <x:c r="C80" s="61"/>
      <x:c r="D80" s="61"/>
      <x:c r="E80" s="61"/>
      <x:c r="F80" s="61"/>
      <x:c r="G80" s="70"/>
      <x:c r="H80" s="61"/>
      <x:c r="I80" s="61"/>
      <x:c r="J80" s="67" t="str">
        <x:f>IF(A80="","",IF(OR(B80="",C80="",D80="",E80="",F80="",G80="",H80=""),"Incomplete",IF(AND(H80&lt;&gt;"Closed",G80&lt;TODAY()),"Overdue",IF(H80="Closed","Closed","Open"))))</x:f>
      </x:c>
    </x:row>
    <x:row r="81">
      <x:c r="A81" s="61"/>
      <x:c r="B81" s="61"/>
      <x:c r="C81" s="61"/>
      <x:c r="D81" s="61"/>
      <x:c r="E81" s="61"/>
      <x:c r="F81" s="61"/>
      <x:c r="G81" s="70"/>
      <x:c r="H81" s="61"/>
      <x:c r="I81" s="61"/>
      <x:c r="J81" s="67" t="str">
        <x:f>IF(A81="","",IF(OR(B81="",C81="",D81="",E81="",F81="",G81="",H81=""),"Incomplete",IF(AND(H81&lt;&gt;"Closed",G81&lt;TODAY()),"Overdue",IF(H81="Closed","Closed","Open"))))</x:f>
      </x:c>
    </x:row>
    <x:row r="82">
      <x:c r="A82" s="61"/>
      <x:c r="B82" s="61"/>
      <x:c r="C82" s="61"/>
      <x:c r="D82" s="61"/>
      <x:c r="E82" s="61"/>
      <x:c r="F82" s="61"/>
      <x:c r="G82" s="70"/>
      <x:c r="H82" s="61"/>
      <x:c r="I82" s="61"/>
      <x:c r="J82" s="67" t="str">
        <x:f>IF(A82="","",IF(OR(B82="",C82="",D82="",E82="",F82="",G82="",H82=""),"Incomplete",IF(AND(H82&lt;&gt;"Closed",G82&lt;TODAY()),"Overdue",IF(H82="Closed","Closed","Open"))))</x:f>
      </x:c>
    </x:row>
    <x:row r="83">
      <x:c r="A83" s="61"/>
      <x:c r="B83" s="61"/>
      <x:c r="C83" s="61"/>
      <x:c r="D83" s="61"/>
      <x:c r="E83" s="61"/>
      <x:c r="F83" s="61"/>
      <x:c r="G83" s="70"/>
      <x:c r="H83" s="61"/>
      <x:c r="I83" s="61"/>
      <x:c r="J83" s="67" t="str">
        <x:f>IF(A83="","",IF(OR(B83="",C83="",D83="",E83="",F83="",G83="",H83=""),"Incomplete",IF(AND(H83&lt;&gt;"Closed",G83&lt;TODAY()),"Overdue",IF(H83="Closed","Closed","Open"))))</x:f>
      </x:c>
    </x:row>
    <x:row r="84">
      <x:c r="A84" s="61"/>
      <x:c r="B84" s="61"/>
      <x:c r="C84" s="61"/>
      <x:c r="D84" s="61"/>
      <x:c r="E84" s="61"/>
      <x:c r="F84" s="61"/>
      <x:c r="G84" s="70"/>
      <x:c r="H84" s="61"/>
      <x:c r="I84" s="61"/>
      <x:c r="J84" s="67" t="str">
        <x:f>IF(A84="","",IF(OR(B84="",C84="",D84="",E84="",F84="",G84="",H84=""),"Incomplete",IF(AND(H84&lt;&gt;"Closed",G84&lt;TODAY()),"Overdue",IF(H84="Closed","Closed","Open"))))</x:f>
      </x:c>
    </x:row>
    <x:row r="85">
      <x:c r="A85" s="61"/>
      <x:c r="B85" s="61"/>
      <x:c r="C85" s="61"/>
      <x:c r="D85" s="61"/>
      <x:c r="E85" s="61"/>
      <x:c r="F85" s="61"/>
      <x:c r="G85" s="70"/>
      <x:c r="H85" s="61"/>
      <x:c r="I85" s="61"/>
      <x:c r="J85" s="67" t="str">
        <x:f>IF(A85="","",IF(OR(B85="",C85="",D85="",E85="",F85="",G85="",H85=""),"Incomplete",IF(AND(H85&lt;&gt;"Closed",G85&lt;TODAY()),"Overdue",IF(H85="Closed","Closed","Open"))))</x:f>
      </x:c>
    </x:row>
    <x:row r="86">
      <x:c r="A86" s="61"/>
      <x:c r="B86" s="61"/>
      <x:c r="C86" s="61"/>
      <x:c r="D86" s="61"/>
      <x:c r="E86" s="61"/>
      <x:c r="F86" s="61"/>
      <x:c r="G86" s="70"/>
      <x:c r="H86" s="61"/>
      <x:c r="I86" s="61"/>
      <x:c r="J86" s="67" t="str">
        <x:f>IF(A86="","",IF(OR(B86="",C86="",D86="",E86="",F86="",G86="",H86=""),"Incomplete",IF(AND(H86&lt;&gt;"Closed",G86&lt;TODAY()),"Overdue",IF(H86="Closed","Closed","Open"))))</x:f>
      </x:c>
    </x:row>
    <x:row r="87">
      <x:c r="A87" s="61"/>
      <x:c r="B87" s="61"/>
      <x:c r="C87" s="61"/>
      <x:c r="D87" s="61"/>
      <x:c r="E87" s="61"/>
      <x:c r="F87" s="61"/>
      <x:c r="G87" s="70"/>
      <x:c r="H87" s="61"/>
      <x:c r="I87" s="61"/>
      <x:c r="J87" s="67" t="str">
        <x:f>IF(A87="","",IF(OR(B87="",C87="",D87="",E87="",F87="",G87="",H87=""),"Incomplete",IF(AND(H87&lt;&gt;"Closed",G87&lt;TODAY()),"Overdue",IF(H87="Closed","Closed","Open"))))</x:f>
      </x:c>
    </x:row>
    <x:row r="88">
      <x:c r="A88" s="61"/>
      <x:c r="B88" s="61"/>
      <x:c r="C88" s="61"/>
      <x:c r="D88" s="61"/>
      <x:c r="E88" s="61"/>
      <x:c r="F88" s="61"/>
      <x:c r="G88" s="70"/>
      <x:c r="H88" s="61"/>
      <x:c r="I88" s="61"/>
      <x:c r="J88" s="67" t="str">
        <x:f>IF(A88="","",IF(OR(B88="",C88="",D88="",E88="",F88="",G88="",H88=""),"Incomplete",IF(AND(H88&lt;&gt;"Closed",G88&lt;TODAY()),"Overdue",IF(H88="Closed","Closed","Open"))))</x:f>
      </x:c>
    </x:row>
    <x:row r="89">
      <x:c r="A89" s="61"/>
      <x:c r="B89" s="61"/>
      <x:c r="C89" s="61"/>
      <x:c r="D89" s="61"/>
      <x:c r="E89" s="61"/>
      <x:c r="F89" s="61"/>
      <x:c r="G89" s="70"/>
      <x:c r="H89" s="61"/>
      <x:c r="I89" s="61"/>
      <x:c r="J89" s="67" t="str">
        <x:f>IF(A89="","",IF(OR(B89="",C89="",D89="",E89="",F89="",G89="",H89=""),"Incomplete",IF(AND(H89&lt;&gt;"Closed",G89&lt;TODAY()),"Overdue",IF(H89="Closed","Closed","Open"))))</x:f>
      </x:c>
    </x:row>
    <x:row r="90">
      <x:c r="A90" s="61"/>
      <x:c r="B90" s="61"/>
      <x:c r="C90" s="61"/>
      <x:c r="D90" s="61"/>
      <x:c r="E90" s="61"/>
      <x:c r="F90" s="61"/>
      <x:c r="G90" s="70"/>
      <x:c r="H90" s="61"/>
      <x:c r="I90" s="61"/>
      <x:c r="J90" s="67" t="str">
        <x:f>IF(A90="","",IF(OR(B90="",C90="",D90="",E90="",F90="",G90="",H90=""),"Incomplete",IF(AND(H90&lt;&gt;"Closed",G90&lt;TODAY()),"Overdue",IF(H90="Closed","Closed","Open"))))</x:f>
      </x:c>
    </x:row>
    <x:row r="91">
      <x:c r="A91" s="61"/>
      <x:c r="B91" s="61"/>
      <x:c r="C91" s="61"/>
      <x:c r="D91" s="61"/>
      <x:c r="E91" s="61"/>
      <x:c r="F91" s="61"/>
      <x:c r="G91" s="70"/>
      <x:c r="H91" s="61"/>
      <x:c r="I91" s="61"/>
      <x:c r="J91" s="67" t="str">
        <x:f>IF(A91="","",IF(OR(B91="",C91="",D91="",E91="",F91="",G91="",H91=""),"Incomplete",IF(AND(H91&lt;&gt;"Closed",G91&lt;TODAY()),"Overdue",IF(H91="Closed","Closed","Open"))))</x:f>
      </x:c>
    </x:row>
    <x:row r="92">
      <x:c r="A92" s="61"/>
      <x:c r="B92" s="61"/>
      <x:c r="C92" s="61"/>
      <x:c r="D92" s="61"/>
      <x:c r="E92" s="61"/>
      <x:c r="F92" s="61"/>
      <x:c r="G92" s="70"/>
      <x:c r="H92" s="61"/>
      <x:c r="I92" s="61"/>
      <x:c r="J92" s="67" t="str">
        <x:f>IF(A92="","",IF(OR(B92="",C92="",D92="",E92="",F92="",G92="",H92=""),"Incomplete",IF(AND(H92&lt;&gt;"Closed",G92&lt;TODAY()),"Overdue",IF(H92="Closed","Closed","Open"))))</x:f>
      </x:c>
    </x:row>
    <x:row r="93">
      <x:c r="A93" s="61"/>
      <x:c r="B93" s="61"/>
      <x:c r="C93" s="61"/>
      <x:c r="D93" s="61"/>
      <x:c r="E93" s="61"/>
      <x:c r="F93" s="61"/>
      <x:c r="G93" s="70"/>
      <x:c r="H93" s="61"/>
      <x:c r="I93" s="61"/>
      <x:c r="J93" s="67" t="str">
        <x:f>IF(A93="","",IF(OR(B93="",C93="",D93="",E93="",F93="",G93="",H93=""),"Incomplete",IF(AND(H93&lt;&gt;"Closed",G93&lt;TODAY()),"Overdue",IF(H93="Closed","Closed","Open"))))</x:f>
      </x:c>
    </x:row>
    <x:row r="94">
      <x:c r="A94" s="61"/>
      <x:c r="B94" s="61"/>
      <x:c r="C94" s="61"/>
      <x:c r="D94" s="61"/>
      <x:c r="E94" s="61"/>
      <x:c r="F94" s="61"/>
      <x:c r="G94" s="70"/>
      <x:c r="H94" s="61"/>
      <x:c r="I94" s="61"/>
      <x:c r="J94" s="67" t="str">
        <x:f>IF(A94="","",IF(OR(B94="",C94="",D94="",E94="",F94="",G94="",H94=""),"Incomplete",IF(AND(H94&lt;&gt;"Closed",G94&lt;TODAY()),"Overdue",IF(H94="Closed","Closed","Open"))))</x:f>
      </x:c>
    </x:row>
    <x:row r="95">
      <x:c r="A95" s="61"/>
      <x:c r="B95" s="61"/>
      <x:c r="C95" s="61"/>
      <x:c r="D95" s="61"/>
      <x:c r="E95" s="61"/>
      <x:c r="F95" s="61"/>
      <x:c r="G95" s="70"/>
      <x:c r="H95" s="61"/>
      <x:c r="I95" s="61"/>
      <x:c r="J95" s="67" t="str">
        <x:f>IF(A95="","",IF(OR(B95="",C95="",D95="",E95="",F95="",G95="",H95=""),"Incomplete",IF(AND(H95&lt;&gt;"Closed",G95&lt;TODAY()),"Overdue",IF(H95="Closed","Closed","Open"))))</x:f>
      </x:c>
    </x:row>
    <x:row r="96">
      <x:c r="A96" s="61"/>
      <x:c r="B96" s="61"/>
      <x:c r="C96" s="61"/>
      <x:c r="D96" s="61"/>
      <x:c r="E96" s="61"/>
      <x:c r="F96" s="61"/>
      <x:c r="G96" s="70"/>
      <x:c r="H96" s="61"/>
      <x:c r="I96" s="61"/>
      <x:c r="J96" s="67" t="str">
        <x:f>IF(A96="","",IF(OR(B96="",C96="",D96="",E96="",F96="",G96="",H96=""),"Incomplete",IF(AND(H96&lt;&gt;"Closed",G96&lt;TODAY()),"Overdue",IF(H96="Closed","Closed","Open"))))</x:f>
      </x:c>
    </x:row>
    <x:row r="97">
      <x:c r="A97" s="61"/>
      <x:c r="B97" s="61"/>
      <x:c r="C97" s="61"/>
      <x:c r="D97" s="61"/>
      <x:c r="E97" s="61"/>
      <x:c r="F97" s="61"/>
      <x:c r="G97" s="70"/>
      <x:c r="H97" s="61"/>
      <x:c r="I97" s="61"/>
      <x:c r="J97" s="67" t="str">
        <x:f>IF(A97="","",IF(OR(B97="",C97="",D97="",E97="",F97="",G97="",H97=""),"Incomplete",IF(AND(H97&lt;&gt;"Closed",G97&lt;TODAY()),"Overdue",IF(H97="Closed","Closed","Open"))))</x:f>
      </x:c>
    </x:row>
    <x:row r="98">
      <x:c r="A98" s="61"/>
      <x:c r="B98" s="61"/>
      <x:c r="C98" s="61"/>
      <x:c r="D98" s="61"/>
      <x:c r="E98" s="61"/>
      <x:c r="F98" s="61"/>
      <x:c r="G98" s="70"/>
      <x:c r="H98" s="61"/>
      <x:c r="I98" s="61"/>
      <x:c r="J98" s="67" t="str">
        <x:f>IF(A98="","",IF(OR(B98="",C98="",D98="",E98="",F98="",G98="",H98=""),"Incomplete",IF(AND(H98&lt;&gt;"Closed",G98&lt;TODAY()),"Overdue",IF(H98="Closed","Closed","Open"))))</x:f>
      </x:c>
    </x:row>
    <x:row r="99">
      <x:c r="A99" s="61"/>
      <x:c r="B99" s="61"/>
      <x:c r="C99" s="61"/>
      <x:c r="D99" s="61"/>
      <x:c r="E99" s="61"/>
      <x:c r="F99" s="61"/>
      <x:c r="G99" s="70"/>
      <x:c r="H99" s="61"/>
      <x:c r="I99" s="61"/>
      <x:c r="J99" s="67" t="str">
        <x:f>IF(A99="","",IF(OR(B99="",C99="",D99="",E99="",F99="",G99="",H99=""),"Incomplete",IF(AND(H99&lt;&gt;"Closed",G99&lt;TODAY()),"Overdue",IF(H99="Closed","Closed","Open"))))</x:f>
      </x:c>
    </x:row>
    <x:row r="100">
      <x:c r="A100" s="61"/>
      <x:c r="B100" s="61"/>
      <x:c r="C100" s="61"/>
      <x:c r="D100" s="61"/>
      <x:c r="E100" s="61"/>
      <x:c r="F100" s="61"/>
      <x:c r="G100" s="70"/>
      <x:c r="H100" s="61"/>
      <x:c r="I100" s="61"/>
      <x:c r="J100" s="67" t="str">
        <x:f>IF(A100="","",IF(OR(B100="",C100="",D100="",E100="",F100="",G100="",H100=""),"Incomplete",IF(AND(H100&lt;&gt;"Closed",G100&lt;TODAY()),"Overdue",IF(H100="Closed","Closed","Open"))))</x:f>
      </x:c>
    </x:row>
    <x:row r="101">
      <x:c r="A101" s="61"/>
      <x:c r="B101" s="61"/>
      <x:c r="C101" s="61"/>
      <x:c r="D101" s="61"/>
      <x:c r="E101" s="61"/>
      <x:c r="F101" s="61"/>
      <x:c r="G101" s="70"/>
      <x:c r="H101" s="61"/>
      <x:c r="I101" s="61"/>
      <x:c r="J101" s="67" t="str">
        <x:f>IF(A101="","",IF(OR(B101="",C101="",D101="",E101="",F101="",G101="",H101=""),"Incomplete",IF(AND(H101&lt;&gt;"Closed",G101&lt;TODAY()),"Overdue",IF(H101="Closed","Closed","Open"))))</x:f>
      </x:c>
    </x:row>
    <x:row r="102">
      <x:c r="A102" s="61"/>
      <x:c r="B102" s="61"/>
      <x:c r="C102" s="61"/>
      <x:c r="D102" s="61"/>
      <x:c r="E102" s="61"/>
      <x:c r="F102" s="61"/>
      <x:c r="G102" s="70"/>
      <x:c r="H102" s="61"/>
      <x:c r="I102" s="61"/>
      <x:c r="J102" s="67" t="str">
        <x:f>IF(A102="","",IF(OR(B102="",C102="",D102="",E102="",F102="",G102="",H102=""),"Incomplete",IF(AND(H102&lt;&gt;"Closed",G102&lt;TODAY()),"Overdue",IF(H102="Closed","Closed","Open"))))</x:f>
      </x:c>
    </x:row>
    <x:row r="103">
      <x:c r="A103" s="61"/>
      <x:c r="B103" s="61"/>
      <x:c r="C103" s="61"/>
      <x:c r="D103" s="61"/>
      <x:c r="E103" s="61"/>
      <x:c r="F103" s="61"/>
      <x:c r="G103" s="70"/>
      <x:c r="H103" s="61"/>
      <x:c r="I103" s="61"/>
      <x:c r="J103" s="67" t="str">
        <x:f>IF(A103="","",IF(OR(B103="",C103="",D103="",E103="",F103="",G103="",H103=""),"Incomplete",IF(AND(H103&lt;&gt;"Closed",G103&lt;TODAY()),"Overdue",IF(H103="Closed","Closed","Open"))))</x:f>
      </x:c>
    </x:row>
    <x:row r="104">
      <x:c r="A104" s="61"/>
      <x:c r="B104" s="61"/>
      <x:c r="C104" s="61"/>
      <x:c r="D104" s="61"/>
      <x:c r="E104" s="61"/>
      <x:c r="F104" s="61"/>
      <x:c r="G104" s="70"/>
      <x:c r="H104" s="61"/>
      <x:c r="I104" s="61"/>
      <x:c r="J104" s="67" t="str">
        <x:f>IF(A104="","",IF(OR(B104="",C104="",D104="",E104="",F104="",G104="",H104=""),"Incomplete",IF(AND(H104&lt;&gt;"Closed",G104&lt;TODAY()),"Overdue",IF(H104="Closed","Closed","Open"))))</x:f>
      </x:c>
    </x:row>
    <x:row r="105">
      <x:c r="A105" s="62"/>
      <x:c r="B105" s="62"/>
      <x:c r="C105" s="62"/>
      <x:c r="D105" s="62"/>
      <x:c r="E105" s="62"/>
      <x:c r="F105" s="62"/>
      <x:c r="G105" s="71"/>
      <x:c r="H105" s="62"/>
      <x:c r="I105" s="62"/>
      <x:c r="J105" s="68" t="str">
        <x:f>IF(A105="","",IF(OR(B105="",C105="",D105="",E105="",F105="",G105="",H105=""),"Incomplete",IF(AND(H105&lt;&gt;"Closed",G105&lt;TODAY()),"Overdue",IF(H105="Closed","Closed","Open"))))</x:f>
      </x:c>
    </x:row>
  </x:sheetData>
  <x:mergeCells>
    <x:mergeCell ref="A1:J1"/>
    <x:mergeCell ref="A2:J2"/>
  </x:mergeCells>
  <x:conditionalFormatting sqref="J6:J105">
    <x:cfRule type="containsText" dxfId="56" priority="1" operator="containsText" text="Incomplete"/>
    <x:cfRule type="containsText" dxfId="57" priority="2" operator="containsText" text="Evidence required"/>
    <x:cfRule type="containsText" dxfId="58" priority="3" operator="containsText" text="Review required"/>
    <x:cfRule type="containsText" dxfId="59" priority="4" operator="containsText" text="Open"/>
    <x:cfRule type="containsText" dxfId="60" priority="5" operator="containsText" text="Overdue"/>
    <x:cfRule type="containsText" dxfId="61" priority="6" operator="containsText" text="Ready"/>
    <x:cfRule type="containsText" dxfId="62" priority="7" operator="containsText" text="Closed"/>
  </x:conditionalFormatting>
  <x:dataValidations count="3">
    <x:dataValidation type="list" sqref="D6:D105">
      <x:formula1>"Evidence request,Study,Method assessment,Reference bridge,Specification review,Validation / transfer,Regulatory assessment,Decision"</x:formula1>
    </x:dataValidation>
    <x:dataValidation type="list" sqref="E6:E105">
      <x:formula1>"Critical,High,Medium,Low"</x:formula1>
    </x:dataValidation>
    <x:dataValidation type="list" sqref="H6:H105">
      <x:formula1>"Not started,In progress,Blocked,Closed,Deferred"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1" hidden="0" customWidth="1"/>
    <x:col min="3" max="3" width="43" hidden="0" customWidth="1"/>
    <x:col min="4" max="4" width="30" hidden="0" customWidth="1"/>
    <x:col min="5" max="5" width="58" hidden="0" customWidth="1"/>
    <x:col min="6" max="6" width="41" hidden="0" customWidth="1"/>
    <x:col min="7" max="7" width="48" hidden="0" customWidth="1"/>
    <x:col min="8" max="8" width="27" hidden="0" customWidth="1"/>
  </x:cols>
  <x:sheetData>
    <x:row r="1" ht="28" customHeight="1">
      <x:c r="A1" s="3" t="str">
        <x:v>Sources &amp; Control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Source catalog, applicability, revision watch, reviewer roles, controlled-use boundary, and document control</x:v>
      </x:c>
      <x:c r="B2" s="7"/>
      <x:c r="C2" s="7"/>
      <x:c r="D2" s="7"/>
      <x:c r="E2" s="7"/>
      <x:c r="F2" s="7"/>
      <x:c r="G2" s="7"/>
      <x:c r="H2" s="7"/>
    </x:row>
    <x:row r="4">
      <x:c r="A4" s="20" t="str">
        <x:v>Package version</x:v>
      </x:c>
      <x:c r="B4" s="73" t="str">
        <x:v>1.0.0-review</x:v>
      </x:c>
      <x:c r="C4" s="73"/>
      <x:c r="D4" s="73"/>
      <x:c r="E4" s="73"/>
      <x:c r="F4" s="73"/>
      <x:c r="G4" s="73"/>
      <x:c r="H4" s="73"/>
    </x:row>
    <x:row r="5">
      <x:c r="A5" s="20" t="str">
        <x:v>Review status</x:v>
      </x:c>
      <x:c r="B5" s="73" t="str">
        <x:v>Under review</x:v>
      </x:c>
      <x:c r="C5" s="73"/>
      <x:c r="D5" s="73"/>
      <x:c r="E5" s="73"/>
      <x:c r="F5" s="73"/>
      <x:c r="G5" s="73"/>
      <x:c r="H5" s="73"/>
    </x:row>
    <x:row r="6">
      <x:c r="A6" s="20" t="str">
        <x:v>Applicability and limitations</x:v>
      </x:c>
      <x:c r="B6" s="73" t="str">
        <x:v>Well-characterized proteins/polypeptides within cited scope; modality, product, matrix, lifecycle, region, and decision require separate evidence.</x:v>
      </x:c>
      <x:c r="C6" s="73"/>
      <x:c r="D6" s="73"/>
      <x:c r="E6" s="73"/>
      <x:c r="F6" s="73"/>
      <x:c r="G6" s="73"/>
      <x:c r="H6" s="73"/>
    </x:row>
    <x:row r="7">
      <x:c r="A7" s="20" t="str">
        <x:v>Reviewed by role</x:v>
      </x:c>
      <x:c r="B7" s="73" t="str">
        <x:v>Pending: product quality, analytical development, bioassay/statistics, reference owner, QC, quality/validation, regulatory CMC.</x:v>
      </x:c>
      <x:c r="C7" s="73"/>
      <x:c r="D7" s="73"/>
      <x:c r="E7" s="73"/>
      <x:c r="F7" s="73"/>
      <x:c r="G7" s="73"/>
      <x:c r="H7" s="73"/>
    </x:row>
    <x:row r="8">
      <x:c r="A8" s="20" t="str">
        <x:v>Controlled-use boundary</x:v>
      </x:c>
      <x:c r="B8" s="73" t="str">
        <x:v>Not a controlled specification, analytical procedure, validation/transfer protocol, reference assignment, filing, comparability conclusion, or batch disposition system.</x:v>
      </x:c>
      <x:c r="C8" s="73"/>
      <x:c r="D8" s="73"/>
      <x:c r="E8" s="73"/>
      <x:c r="F8" s="73"/>
      <x:c r="G8" s="73"/>
      <x:c r="H8" s="73"/>
    </x:row>
    <x:row r="9">
      <x:c r="A9" s="20" t="str">
        <x:v>Numeric claim policy</x:v>
      </x:c>
      <x:c r="B9" s="73" t="str">
        <x:v>No product method parameter, ATP criterion, system suitability, reportable range, reference value, specification, acceptance criterion, or sampling plan is supplied.</x:v>
      </x:c>
      <x:c r="C9" s="73"/>
      <x:c r="D9" s="73"/>
      <x:c r="E9" s="73"/>
      <x:c r="F9" s="73"/>
      <x:c r="G9" s="73"/>
      <x:c r="H9" s="73"/>
    </x:row>
    <x:row r="10">
      <x:c r="A10" s="20" t="str">
        <x:v>Reference-system boundary</x:v>
      </x:c>
      <x:c r="B10" s="73" t="str">
        <x:v>International unitage or a certificate does not establish product-specific suitability, commutability, stability, or a release specification.</x:v>
      </x:c>
      <x:c r="C10" s="73"/>
      <x:c r="D10" s="73"/>
      <x:c r="E10" s="73"/>
      <x:c r="F10" s="73"/>
      <x:c r="G10" s="73"/>
      <x:c r="H10" s="73"/>
    </x:row>
    <x:row r="11">
      <x:c r="A11" s="20" t="str">
        <x:v>Total-control boundary</x:v>
      </x:c>
      <x:c r="B11" s="73" t="str">
        <x:v>Specification conformance is not full characterization; not every characterized attribute belongs in release testing.</x:v>
      </x:c>
      <x:c r="C11" s="73"/>
      <x:c r="D11" s="73"/>
      <x:c r="E11" s="73"/>
      <x:c r="F11" s="73"/>
      <x:c r="G11" s="73"/>
      <x:c r="H11" s="73"/>
    </x:row>
    <x:row r="12">
      <x:c r="A12" s="20" t="str">
        <x:v>Revision watch</x:v>
      </x:c>
      <x:c r="B12" s="73" t="str">
        <x:v>ICH Q6(R1) is concept/revision activity, not effective revised guidance. WHO 2026 replaces Annex 2 of TRS 932 for international biological reference standards.</x:v>
      </x:c>
      <x:c r="C12" s="73"/>
      <x:c r="D12" s="73"/>
      <x:c r="E12" s="73"/>
      <x:c r="F12" s="73"/>
      <x:c r="G12" s="73"/>
      <x:c r="H12" s="73"/>
    </x:row>
    <x:row r="14" ht="38" customHeight="1">
      <x:c r="A14" s="47" t="str">
        <x:v>Source ID</x:v>
      </x:c>
      <x:c r="B14" s="48" t="str">
        <x:v>Publisher</x:v>
      </x:c>
      <x:c r="C14" s="48" t="str">
        <x:v>Title</x:v>
      </x:c>
      <x:c r="D14" s="48" t="str">
        <x:v>Edition</x:v>
      </x:c>
      <x:c r="E14" s="48" t="str">
        <x:v>URL</x:v>
      </x:c>
      <x:c r="F14" s="48" t="str">
        <x:v>Decision use</x:v>
      </x:c>
      <x:c r="G14" s="48" t="str">
        <x:v>Licensing / scope boundary</x:v>
      </x:c>
      <x:c r="H14" s="49" t="str">
        <x:v>Lifecycle status</x:v>
      </x:c>
    </x:row>
    <x:row r="15">
      <x:c r="A15" s="57" t="str">
        <x:v>ICH-Q6B</x:v>
      </x:c>
      <x:c r="B15" s="57" t="str">
        <x:v>International Council for Harmonisation</x:v>
      </x:c>
      <x:c r="C15" s="57" t="str">
        <x:v>Specifications for Biotechnological/Biological Products Q6B</x:v>
      </x:c>
      <x:c r="D15" s="57" t="str">
        <x:v>Step 4 final guideline; Q6(R1) revision monitored</x:v>
      </x:c>
      <x:c r="E15" s="57" t="str">
        <x:v>https://database.ich.org/sites/default/files/Q6B%20Guideline.pdf</x:v>
      </x:c>
      <x:c r="F15" s="57" t="str">
        <x:v>Characterization, activity, impurities, reference materials, specifications, and total control strategy</x:v>
      </x:c>
      <x:c r="G15" s="57" t="str">
        <x:v>No universal method panel or product-specific criterion</x:v>
      </x:c>
      <x:c r="H15" s="57" t="str">
        <x:v>Current; revision activity exists</x:v>
      </x:c>
    </x:row>
    <x:row r="16">
      <x:c r="A16" s="58" t="str">
        <x:v>ICH-Q6-R1-CONCEPT-2024</x:v>
      </x:c>
      <x:c r="B16" s="58" t="str">
        <x:v>International Council for Harmonisation</x:v>
      </x:c>
      <x:c r="C16" s="58" t="str">
        <x:v>Maintenance of ICH Q6A and Q6B — Final Concept Paper</x:v>
      </x:c>
      <x:c r="D16" s="58" t="str">
        <x:v>Final concept paper dated 2024-06-25</x:v>
      </x:c>
      <x:c r="E16" s="58" t="str">
        <x:v>https://database.ich.org/sites/default/files/ICH_Q6%28R1%29_Final_ConceptPaper_2024_0625.pdf</x:v>
      </x:c>
      <x:c r="F16" s="58" t="str">
        <x:v>Revision scope and lifecycle watch</x:v>
      </x:c>
      <x:c r="G16" s="58" t="str">
        <x:v>Concept paper is not effective revised guidance</x:v>
      </x:c>
      <x:c r="H16" s="58" t="str">
        <x:v>Draft / revision activity</x:v>
      </x:c>
    </x:row>
    <x:row r="17">
      <x:c r="A17" s="58" t="str">
        <x:v>ICH-Q2-R2</x:v>
      </x:c>
      <x:c r="B17" s="58" t="str">
        <x:v>International Council for Harmonisation</x:v>
      </x:c>
      <x:c r="C17" s="58" t="str">
        <x:v>Validation of Analytical Procedures Q2(R2)</x:v>
      </x:c>
      <x:c r="D17" s="58" t="str">
        <x:v>Step 4 final guideline, 2023</x:v>
      </x:c>
      <x:c r="E17" s="58" t="str">
        <x:v>https://database.ich.org/sites/default/files/ICH_Q2%28R2%29_Guideline_2023_1130.pdf</x:v>
      </x:c>
      <x:c r="F17" s="58" t="str">
        <x:v>Intended-use validation, performance, reportable range, reference material, and lifecycle evidence</x:v>
      </x:c>
      <x:c r="G17" s="58" t="str">
        <x:v>No universal validation design or criteria</x:v>
      </x:c>
      <x:c r="H17" s="58" t="str">
        <x:v>Current; verify regional implementation</x:v>
      </x:c>
    </x:row>
    <x:row r="18">
      <x:c r="A18" s="58" t="str">
        <x:v>ICH-Q14</x:v>
      </x:c>
      <x:c r="B18" s="58" t="str">
        <x:v>International Council for Harmonisation</x:v>
      </x:c>
      <x:c r="C18" s="58" t="str">
        <x:v>Analytical Procedure Development Q14</x:v>
      </x:c>
      <x:c r="D18" s="58" t="str">
        <x:v>Step 4 final guideline, 2023</x:v>
      </x:c>
      <x:c r="E18" s="58" t="str">
        <x:v>https://database.ich.org/sites/default/files/ICH_Q14_Guideline_2023_1116.pdf</x:v>
      </x:c>
      <x:c r="F18" s="58" t="str">
        <x:v>ATP, development, robustness, control strategy, monitoring, bridging, and change</x:v>
      </x:c>
      <x:c r="G18" s="58" t="str">
        <x:v>Does not approve a procedure or platform application</x:v>
      </x:c>
      <x:c r="H18" s="58" t="str">
        <x:v>Current; verify regional implementation</x:v>
      </x:c>
    </x:row>
    <x:row r="19">
      <x:c r="A19" s="58" t="str">
        <x:v>ICH-Q5E</x:v>
      </x:c>
      <x:c r="B19" s="58" t="str">
        <x:v>International Council for Harmonisation</x:v>
      </x:c>
      <x:c r="C19" s="58" t="str">
        <x:v>Comparability of Biotechnological/Biological Products Q5E</x:v>
      </x:c>
      <x:c r="D19" s="58" t="str">
        <x:v>Step 4 final guideline</x:v>
      </x:c>
      <x:c r="E19" s="58" t="str">
        <x:v>https://database.ich.org/sites/default/files/Q5E_Guideline.pdf</x:v>
      </x:c>
      <x:c r="F19" s="58" t="str">
        <x:v>Orthogonal analytical comparison and change evidence</x:v>
      </x:c>
      <x:c r="G19" s="58" t="str">
        <x:v>Release conformance or analytical identity alone does not establish comparability</x:v>
      </x:c>
      <x:c r="H19" s="58" t="str">
        <x:v>Current; verify regional implementation</x:v>
      </x:c>
    </x:row>
    <x:row r="20">
      <x:c r="A20" s="58" t="str">
        <x:v>ICH-Q5C</x:v>
      </x:c>
      <x:c r="B20" s="58" t="str">
        <x:v>International Council for Harmonisation</x:v>
      </x:c>
      <x:c r="C20" s="58" t="str">
        <x:v>Stability Testing of Biotechnological/Biological Products Q5C</x:v>
      </x:c>
      <x:c r="D20" s="58" t="str">
        <x:v>Step 4 final guideline</x:v>
      </x:c>
      <x:c r="E20" s="58" t="str">
        <x:v>https://database.ich.org/sites/default/files/Q5C%20Guideline.pdf</x:v>
      </x:c>
      <x:c r="F20" s="58" t="str">
        <x:v>Stability-indicating profile, potency, and reference-material context</x:v>
      </x:c>
      <x:c r="G20" s="58" t="str">
        <x:v>No product-specific panel, schedule, criterion, or shelf life</x:v>
      </x:c>
      <x:c r="H20" s="58" t="str">
        <x:v>Current; consolidated Q1 revision monitored</x:v>
      </x:c>
    </x:row>
    <x:row r="21">
      <x:c r="A21" s="58" t="str">
        <x:v>ICH-Q9-R1</x:v>
      </x:c>
      <x:c r="B21" s="58" t="str">
        <x:v>International Council for Harmonisation</x:v>
      </x:c>
      <x:c r="C21" s="58" t="str">
        <x:v>Quality Risk Management Q9(R1)</x:v>
      </x:c>
      <x:c r="D21" s="58" t="str">
        <x:v>Step 4 final guideline</x:v>
      </x:c>
      <x:c r="E21" s="58" t="str">
        <x:v>https://database.ich.org/sites/default/files/ICH_Q9-R1_Guideline_Step4_2022_1219.pdf</x:v>
      </x:c>
      <x:c r="F21" s="58" t="str">
        <x:v>Risk-based decision quality</x:v>
      </x:c>
      <x:c r="G21" s="58" t="str">
        <x:v>Risk tools do not create evidence or approve controls</x:v>
      </x:c>
      <x:c r="H21" s="58" t="str">
        <x:v>Current</x:v>
      </x:c>
    </x:row>
    <x:row r="22">
      <x:c r="A22" s="58" t="str">
        <x:v>ICH-Q10</x:v>
      </x:c>
      <x:c r="B22" s="58" t="str">
        <x:v>International Council for Harmonisation</x:v>
      </x:c>
      <x:c r="C22" s="58" t="str">
        <x:v>Pharmaceutical Quality System Q10</x:v>
      </x:c>
      <x:c r="D22" s="58" t="str">
        <x:v>Step 4 final guideline</x:v>
      </x:c>
      <x:c r="E22" s="58" t="str">
        <x:v>https://database.ich.org/sites/default/files/Q10_Guideline.pdf</x:v>
      </x:c>
      <x:c r="F22" s="58" t="str">
        <x:v>Knowledge, monitoring, change, commitment, and lifecycle governance</x:v>
      </x:c>
      <x:c r="G22" s="58" t="str">
        <x:v>No product-specific control or filing conclusion</x:v>
      </x:c>
      <x:c r="H22" s="58" t="str">
        <x:v>Current</x:v>
      </x:c>
    </x:row>
    <x:row r="23">
      <x:c r="A23" s="59" t="str">
        <x:v>WHO-IBRS-2026</x:v>
      </x:c>
      <x:c r="B23" s="59" t="str">
        <x:v>World Health Organization</x:v>
      </x:c>
      <x:c r="C23" s="59" t="str">
        <x:v>Recommendations for preparation, characterization, establishment and use of WHO international biological reference standards</x:v>
      </x:c>
      <x:c r="D23" s="59" t="str">
        <x:v>2026; replaces Annex 2 of WHO TRS 932</x:v>
      </x:c>
      <x:c r="E23" s="59" t="str">
        <x:v>https://www.who.int/publications/m/item/recommendations-for-the-preparation--characterization--establishment-and-use-of-who-international-biological-reference-standards-%282026%29</x:v>
      </x:c>
      <x:c r="F23" s="59" t="str">
        <x:v>International biological reference-standard purpose, establishment, use, and stewardship</x:v>
      </x:c>
      <x:c r="G23" s="59" t="str">
        <x:v>Does not replace product-specific reference qualification or define a specification</x:v>
      </x:c>
      <x:c r="H23" s="59" t="str">
        <x:v>Current WHO source</x:v>
      </x:c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9" hidden="0" customWidth="1"/>
    <x:col min="4" max="4" width="28" hidden="0" customWidth="1"/>
    <x:col min="5" max="5" width="25" hidden="0" customWidth="1"/>
    <x:col min="6" max="6" width="29" hidden="0" customWidth="1"/>
    <x:col min="7" max="7" width="24" hidden="0" customWidth="1"/>
    <x:col min="8" max="8" width="25" hidden="0" customWidth="1"/>
    <x:col min="9" max="9" width="26" hidden="0" customWidth="1"/>
    <x:col min="10" max="10" width="18" hidden="0" customWidth="1"/>
    <x:col min="11" max="11" width="24" hidden="0" customWidth="1"/>
    <x:col min="12" max="12" width="16" hidden="0" customWidth="1"/>
    <x:col min="13" max="13" width="18" hidden="0" customWidth="1"/>
  </x:cols>
  <x:sheetData>
    <x:row r="1" ht="28" customHeight="1">
      <x:c r="A1" s="3" t="str">
        <x:v>Controlled Lists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Editable categorical values used by workbook validation; changes require workbook-owner review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8" customHeight="1">
      <x:c r="A4" s="47" t="str">
        <x:v>Attribute Categories</x:v>
      </x:c>
      <x:c r="B4" s="48" t="str">
        <x:v>Lifecycle Uses</x:v>
      </x:c>
      <x:c r="C4" s="48" t="str">
        <x:v>Control Placements</x:v>
      </x:c>
      <x:c r="D4" s="48" t="str">
        <x:v>Method Purposes</x:v>
      </x:c>
      <x:c r="E4" s="48" t="str">
        <x:v>Evidence Strengths</x:v>
      </x:c>
      <x:c r="F4" s="48" t="str">
        <x:v>Reference Tiers</x:v>
      </x:c>
      <x:c r="G4" s="48" t="str">
        <x:v>Reference Statuses</x:v>
      </x:c>
      <x:c r="H4" s="48" t="str">
        <x:v>Change Types</x:v>
      </x:c>
      <x:c r="I4" s="48" t="str">
        <x:v>Evidence Types</x:v>
      </x:c>
      <x:c r="J4" s="48" t="str">
        <x:v>Review Statuses</x:v>
      </x:c>
      <x:c r="K4" s="48" t="str">
        <x:v>Action Types</x:v>
      </x:c>
      <x:c r="L4" s="48" t="str">
        <x:v>Priorities</x:v>
      </x:c>
      <x:c r="M4" s="49" t="str">
        <x:v>Action Statuses</x:v>
      </x:c>
    </x:row>
    <x:row r="5">
      <x:c r="A5" s="57" t="str">
        <x:v>Identity / structure</x:v>
      </x:c>
      <x:c r="B5" s="57" t="str">
        <x:v>Characterization</x:v>
      </x:c>
      <x:c r="C5" s="57" t="str">
        <x:v>Raw material</x:v>
      </x:c>
      <x:c r="D5" s="57" t="str">
        <x:v>Identity</x:v>
      </x:c>
      <x:c r="E5" s="57" t="str">
        <x:v>Hypothesis</x:v>
      </x:c>
      <x:c r="F5" s="57" t="str">
        <x:v>International / national reference</x:v>
      </x:c>
      <x:c r="G5" s="57" t="str">
        <x:v>Proposed</x:v>
      </x:c>
      <x:c r="H5" s="57" t="str">
        <x:v>Product / process</x:v>
      </x:c>
      <x:c r="I5" s="57" t="str">
        <x:v>Official guidance</x:v>
      </x:c>
      <x:c r="J5" s="57" t="str">
        <x:v>Not started</x:v>
      </x:c>
      <x:c r="K5" s="57" t="str">
        <x:v>Evidence request</x:v>
      </x:c>
      <x:c r="L5" s="57" t="str">
        <x:v>Critical</x:v>
      </x:c>
      <x:c r="M5" s="57" t="str">
        <x:v>Not started</x:v>
      </x:c>
    </x:row>
    <x:row r="6">
      <x:c r="A6" s="58" t="str">
        <x:v>Heterogeneity / variant</x:v>
      </x:c>
      <x:c r="B6" s="58" t="str">
        <x:v>Development</x:v>
      </x:c>
      <x:c r="C6" s="58" t="str">
        <x:v>Process design</x:v>
      </x:c>
      <x:c r="D6" s="58" t="str">
        <x:v>Purity / impurity</x:v>
      </x:c>
      <x:c r="E6" s="58" t="str">
        <x:v>Observed association</x:v>
      </x:c>
      <x:c r="F6" s="58" t="str">
        <x:v>In-house primary reference</x:v>
      </x:c>
      <x:c r="G6" s="58" t="str">
        <x:v>Active</x:v>
      </x:c>
      <x:c r="H6" s="58" t="str">
        <x:v>Analytical procedure</x:v>
      </x:c>
      <x:c r="I6" s="58" t="str">
        <x:v>Controlled study</x:v>
      </x:c>
      <x:c r="J6" s="58" t="str">
        <x:v>Draft</x:v>
      </x:c>
      <x:c r="K6" s="58" t="str">
        <x:v>Study</x:v>
      </x:c>
      <x:c r="L6" s="58" t="str">
        <x:v>High</x:v>
      </x:c>
      <x:c r="M6" s="58" t="str">
        <x:v>In progress</x:v>
      </x:c>
    </x:row>
    <x:row r="7">
      <x:c r="A7" s="58" t="str">
        <x:v>Biological activity / potency</x:v>
      </x:c>
      <x:c r="B7" s="58" t="str">
        <x:v>Process characterization</x:v>
      </x:c>
      <x:c r="C7" s="58" t="str">
        <x:v>Process parameter</x:v>
      </x:c>
      <x:c r="D7" s="58" t="str">
        <x:v>Potency / activity</x:v>
      </x:c>
      <x:c r="E7" s="58" t="str">
        <x:v>Designed-study support</x:v>
      </x:c>
      <x:c r="F7" s="58" t="str">
        <x:v>In-house working reference</x:v>
      </x:c>
      <x:c r="G7" s="58" t="str">
        <x:v>Bridging</x:v>
      </x:c>
      <x:c r="H7" s="58" t="str">
        <x:v>Site / transfer</x:v>
      </x:c>
      <x:c r="I7" s="58" t="str">
        <x:v>Development study</x:v>
      </x:c>
      <x:c r="J7" s="58" t="str">
        <x:v>In review</x:v>
      </x:c>
      <x:c r="K7" s="58" t="str">
        <x:v>Method assessment</x:v>
      </x:c>
      <x:c r="L7" s="58" t="str">
        <x:v>Medium</x:v>
      </x:c>
      <x:c r="M7" s="58" t="str">
        <x:v>Blocked</x:v>
      </x:c>
    </x:row>
    <x:row r="8">
      <x:c r="A8" s="58" t="str">
        <x:v>Product-related substance</x:v>
      </x:c>
      <x:c r="B8" s="58" t="str">
        <x:v>IPC / monitoring</x:v>
      </x:c>
      <x:c r="C8" s="58" t="str">
        <x:v>IPC / monitoring</x:v>
      </x:c>
      <x:c r="D8" s="58" t="str">
        <x:v>Quantity</x:v>
      </x:c>
      <x:c r="E8" s="58" t="str">
        <x:v>Multi-source support</x:v>
      </x:c>
      <x:c r="F8" s="58" t="str">
        <x:v>System suitability control</x:v>
      </x:c>
      <x:c r="G8" s="58" t="str">
        <x:v>Quarantined</x:v>
      </x:c>
      <x:c r="H8" s="58" t="str">
        <x:v>Instrument / software</x:v>
      </x:c>
      <x:c r="I8" s="58" t="str">
        <x:v>Validation study</x:v>
      </x:c>
      <x:c r="J8" s="58" t="str">
        <x:v>Reviewed</x:v>
      </x:c>
      <x:c r="K8" s="58" t="str">
        <x:v>Reference bridge</x:v>
      </x:c>
      <x:c r="L8" s="58" t="str">
        <x:v>Low</x:v>
      </x:c>
      <x:c r="M8" s="58" t="str">
        <x:v>Closed</x:v>
      </x:c>
    </x:row>
    <x:row r="9">
      <x:c r="A9" s="58" t="str">
        <x:v>Product-related impurity</x:v>
      </x:c>
      <x:c r="B9" s="58" t="str">
        <x:v>Release</x:v>
      </x:c>
      <x:c r="C9" s="58" t="str">
        <x:v>Characterization</x:v>
      </x:c>
      <x:c r="D9" s="58" t="str">
        <x:v>Structure / characterization</x:v>
      </x:c>
      <x:c r="E9" s="58" t="str">
        <x:v>Contradictory or unresolved</x:v>
      </x:c>
      <x:c r="F9" s="58" t="str">
        <x:v>Critical reagent</x:v>
      </x:c>
      <x:c r="G9" s="58" t="str">
        <x:v>Retired</x:v>
      </x:c>
      <x:c r="H9" s="58" t="str">
        <x:v>Reference material</x:v>
      </x:c>
      <x:c r="I9" s="58" t="str">
        <x:v>Manufacturing data</x:v>
      </x:c>
      <x:c r="J9" s="58"/>
      <x:c r="K9" s="58" t="str">
        <x:v>Specification review</x:v>
      </x:c>
      <x:c r="L9" s="58"/>
      <x:c r="M9" s="58" t="str">
        <x:v>Deferred</x:v>
      </x:c>
    </x:row>
    <x:row r="10">
      <x:c r="A10" s="58" t="str">
        <x:v>Degradation product</x:v>
      </x:c>
      <x:c r="B10" s="58" t="str">
        <x:v>Stability</x:v>
      </x:c>
      <x:c r="C10" s="58" t="str">
        <x:v>Release specification</x:v>
      </x:c>
      <x:c r="D10" s="58" t="str">
        <x:v>Stability indication</x:v>
      </x:c>
      <x:c r="E10" s="58"/>
      <x:c r="F10" s="58" t="str">
        <x:v>Cell system</x:v>
      </x:c>
      <x:c r="G10" s="58"/>
      <x:c r="H10" s="58" t="str">
        <x:v>Critical reagent / cell</x:v>
      </x:c>
      <x:c r="I10" s="58" t="str">
        <x:v>Stability data</x:v>
      </x:c>
      <x:c r="J10" s="58"/>
      <x:c r="K10" s="58" t="str">
        <x:v>Validation / transfer</x:v>
      </x:c>
      <x:c r="L10" s="58"/>
      <x:c r="M10" s="58"/>
    </x:row>
    <x:row r="11">
      <x:c r="A11" s="58" t="str">
        <x:v>Process-related impurity</x:v>
      </x:c>
      <x:c r="B11" s="58" t="str">
        <x:v>Comparability</x:v>
      </x:c>
      <x:c r="C11" s="58" t="str">
        <x:v>Stability</x:v>
      </x:c>
      <x:c r="D11" s="58" t="str">
        <x:v>Process monitoring</x:v>
      </x:c>
      <x:c r="E11" s="58"/>
      <x:c r="F11" s="58" t="str">
        <x:v>Calibration model</x:v>
      </x:c>
      <x:c r="G11" s="58"/>
      <x:c r="H11" s="58" t="str">
        <x:v>Specification</x:v>
      </x:c>
      <x:c r="I11" s="58" t="str">
        <x:v>Reference qualification</x:v>
      </x:c>
      <x:c r="J11" s="58"/>
      <x:c r="K11" s="58" t="str">
        <x:v>Regulatory assessment</x:v>
      </x:c>
      <x:c r="L11" s="58"/>
      <x:c r="M11" s="58"/>
    </x:row>
    <x:row r="12">
      <x:c r="A12" s="58" t="str">
        <x:v>Contaminant</x:v>
      </x:c>
      <x:c r="B12" s="58" t="str">
        <x:v>Investigation</x:v>
      </x:c>
      <x:c r="C12" s="58" t="str">
        <x:v>Continued verification</x:v>
      </x:c>
      <x:c r="D12" s="58" t="str">
        <x:v>Comparability</x:v>
      </x:c>
      <x:c r="E12" s="58"/>
      <x:c r="F12" s="58" t="str">
        <x:v>Other</x:v>
      </x:c>
      <x:c r="G12" s="58"/>
      <x:c r="H12" s="58" t="str">
        <x:v>Regulatory commitment</x:v>
      </x:c>
      <x:c r="I12" s="58" t="str">
        <x:v>Method monitoring</x:v>
      </x:c>
      <x:c r="J12" s="58"/>
      <x:c r="K12" s="58" t="str">
        <x:v>Decision</x:v>
      </x:c>
      <x:c r="L12" s="58"/>
      <x:c r="M12" s="58"/>
    </x:row>
    <x:row r="13">
      <x:c r="A13" s="58" t="str">
        <x:v>Quantity</x:v>
      </x:c>
      <x:c r="B13" s="58" t="str">
        <x:v>Reference qualification</x:v>
      </x:c>
      <x:c r="C13" s="58" t="str">
        <x:v>Multiple controls</x:v>
      </x:c>
      <x:c r="D13" s="58" t="str">
        <x:v>Investigation</x:v>
      </x:c>
      <x:c r="E13" s="58"/>
      <x:c r="F13" s="58"/>
      <x:c r="G13" s="58"/>
      <x:c r="H13" s="58" t="str">
        <x:v>Other</x:v>
      </x:c>
      <x:c r="I13" s="58" t="str">
        <x:v>Deviation / investigation</x:v>
      </x:c>
      <x:c r="J13" s="58"/>
      <x:c r="K13" s="58"/>
      <x:c r="L13" s="58"/>
      <x:c r="M13" s="58"/>
    </x:row>
    <x:row r="14">
      <x:c r="A14" s="58" t="str">
        <x:v>Delivery / performance</x:v>
      </x:c>
      <x:c r="B14" s="58" t="str">
        <x:v>Other</x:v>
      </x:c>
      <x:c r="C14" s="58" t="str">
        <x:v>Evidence required</x:v>
      </x:c>
      <x:c r="D14" s="58" t="str">
        <x:v>Reference qualification</x:v>
      </x:c>
      <x:c r="E14" s="58"/>
      <x:c r="F14" s="58"/>
      <x:c r="G14" s="58"/>
      <x:c r="H14" s="58"/>
      <x:c r="I14" s="58" t="str">
        <x:v>Regulatory / quality record</x:v>
      </x:c>
      <x:c r="J14" s="58"/>
      <x:c r="K14" s="58"/>
      <x:c r="L14" s="58"/>
      <x:c r="M14" s="58"/>
    </x:row>
    <x:row r="15">
      <x:c r="A15" s="59" t="str">
        <x:v>Other</x:v>
      </x:c>
      <x:c r="B15" s="59"/>
      <x:c r="C15" s="59"/>
      <x:c r="D15" s="59"/>
      <x:c r="E15" s="59"/>
      <x:c r="F15" s="59"/>
      <x:c r="G15" s="59"/>
      <x:c r="H15" s="59"/>
      <x:c r="I15" s="59" t="str">
        <x:v>Other</x:v>
      </x:c>
      <x:c r="J15" s="59"/>
      <x:c r="K15" s="59"/>
      <x:c r="L15" s="59"/>
      <x:c r="M15" s="59"/>
    </x:row>
  </x:sheetData>
  <x:mergeCells>
    <x:mergeCell ref="A1:M1"/>
    <x:mergeCell ref="A2:M2"/>
  </x:mergeCells>
  <x:pageMargins left="0.7" right="0.7" top="0.75" bottom="0.75" header="0.3" footer="0.3"/>
</x:worksheet>
</file>